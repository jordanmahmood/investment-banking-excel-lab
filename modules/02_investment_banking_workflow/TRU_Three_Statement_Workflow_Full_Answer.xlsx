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Instructions" sheetId="2" state="visible" r:id="rId2"/>
    <sheet xmlns:r="http://schemas.openxmlformats.org/officeDocument/2006/relationships" name="Build_Map" sheetId="3" state="visible" r:id="rId3"/>
    <sheet xmlns:r="http://schemas.openxmlformats.org/officeDocument/2006/relationships" name="Assumptions" sheetId="4" state="visible" r:id="rId4"/>
    <sheet xmlns:r="http://schemas.openxmlformats.org/officeDocument/2006/relationships" name="IS" sheetId="5" state="visible" r:id="rId5"/>
    <sheet xmlns:r="http://schemas.openxmlformats.org/officeDocument/2006/relationships" name="Schedules" sheetId="6" state="visible" r:id="rId6"/>
    <sheet xmlns:r="http://schemas.openxmlformats.org/officeDocument/2006/relationships" name="CF" sheetId="7" state="visible" r:id="rId7"/>
    <sheet xmlns:r="http://schemas.openxmlformats.org/officeDocument/2006/relationships" name="BS" sheetId="8" state="visible" r:id="rId8"/>
    <sheet xmlns:r="http://schemas.openxmlformats.org/officeDocument/2006/relationships" name="Summary" sheetId="9" state="visible" r:id="rId9"/>
    <sheet xmlns:r="http://schemas.openxmlformats.org/officeDocument/2006/relationships" name="Checks" sheetId="10" state="visible" r:id="rId10"/>
    <sheet xmlns:r="http://schemas.openxmlformats.org/officeDocument/2006/relationships" name="Source_Notes" sheetId="11" state="visible" r:id="rId11"/>
  </sheets>
  <definedNames/>
  <calcPr calcId="124519" calcMode="auto" fullCalcOnLoad="1" forceFullCalc="1"/>
</workbook>
</file>

<file path=xl/styles.xml><?xml version="1.0" encoding="utf-8"?>
<styleSheet xmlns="http://schemas.openxmlformats.org/spreadsheetml/2006/main">
  <numFmts count="2">
    <numFmt numFmtId="164" formatCode="0.0%"/>
    <numFmt numFmtId="165" formatCode="#,##0.0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b val="1"/>
      <color rgb="001E3A5F"/>
      <sz val="11"/>
    </font>
    <font>
      <name val="Calibri"/>
      <color rgb="001F2937"/>
      <sz val="10"/>
    </font>
    <font>
      <name val="Calibri"/>
      <b val="1"/>
      <color rgb="00FFFFFF"/>
      <sz val="14"/>
    </font>
    <font>
      <name val="Calibri"/>
      <b val="1"/>
      <color rgb="001F2937"/>
      <sz val="10"/>
    </font>
    <font>
      <name val="Calibri"/>
      <b val="1"/>
      <color rgb="00FFFFFF"/>
      <sz val="10"/>
    </font>
    <font>
      <name val="Calibri"/>
      <color rgb="000000FF"/>
      <sz val="10"/>
    </font>
    <font>
      <name val="Calibri"/>
      <b val="1"/>
      <color rgb="00FFFFFF"/>
      <sz val="12"/>
    </font>
  </fonts>
  <fills count="7">
    <fill>
      <patternFill/>
    </fill>
    <fill>
      <patternFill patternType="gray125"/>
    </fill>
    <fill>
      <patternFill patternType="solid">
        <fgColor rgb="0010253F"/>
      </patternFill>
    </fill>
    <fill>
      <patternFill patternType="solid">
        <fgColor rgb="00DDEBF7"/>
      </patternFill>
    </fill>
    <fill>
      <patternFill patternType="solid">
        <fgColor rgb="001E3A5F"/>
      </patternFill>
    </fill>
    <fill>
      <patternFill patternType="solid">
        <fgColor rgb="00EEF2F7"/>
      </patternFill>
    </fill>
    <fill>
      <patternFill patternType="solid">
        <fgColor rgb="00FFFFFF"/>
      </patternFill>
    </fill>
  </fills>
  <borders count="11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  <border>
      <left/>
      <right/>
      <top style="thin">
        <color rgb="00D9E2F3"/>
      </top>
      <bottom/>
      <diagonal/>
    </border>
    <border>
      <left style="thin">
        <color rgb="00D9E2F3"/>
      </left>
      <right/>
      <top/>
      <bottom/>
      <diagonal/>
    </border>
    <border>
      <left/>
      <right style="thin">
        <color rgb="00D9E2F3"/>
      </right>
      <top style="thin">
        <color rgb="00D9E2F3"/>
      </top>
      <bottom/>
      <diagonal/>
    </border>
    <border>
      <left/>
      <right style="thin">
        <color rgb="00D9E2F3"/>
      </right>
      <top/>
      <bottom/>
      <diagonal/>
    </border>
    <border>
      <left style="thin">
        <color rgb="00D9E2F3"/>
      </left>
      <right/>
      <top/>
      <bottom style="thin">
        <color rgb="00D9E2F3"/>
      </bottom>
      <diagonal/>
    </border>
    <border>
      <left/>
      <right/>
      <top/>
      <bottom style="thin">
        <color rgb="00D9E2F3"/>
      </bottom>
      <diagonal/>
    </border>
    <border>
      <left/>
      <right style="thin">
        <color rgb="00D9E2F3"/>
      </right>
      <top/>
      <bottom style="thin">
        <color rgb="00D9E2F3"/>
      </bottom>
      <diagonal/>
    </border>
    <border>
      <left/>
      <right/>
      <top style="thin">
        <color rgb="00D9E2F3"/>
      </top>
      <bottom style="thin">
        <color rgb="00D9E2F3"/>
      </bottom>
      <diagonal/>
    </border>
    <border>
      <left/>
      <right style="thin">
        <color rgb="00D9E2F3"/>
      </right>
      <top style="thin">
        <color rgb="00D9E2F3"/>
      </top>
      <bottom style="thin">
        <color rgb="00D9E2F3"/>
      </bottom>
      <diagonal/>
    </border>
  </borders>
  <cellStyleXfs count="1">
    <xf numFmtId="0" fontId="0" fillId="0" borderId="0"/>
  </cellStyleXfs>
  <cellXfs count="43">
    <xf numFmtId="0" fontId="0" fillId="0" borderId="0" pivotButton="0" quotePrefix="0" xfId="0"/>
    <xf numFmtId="0" fontId="1" fillId="2" borderId="1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/>
    </xf>
    <xf numFmtId="0" fontId="4" fillId="2" borderId="1" applyAlignment="1" pivotButton="0" quotePrefix="0" xfId="0">
      <alignment horizontal="left" vertical="center"/>
    </xf>
    <xf numFmtId="0" fontId="5" fillId="3" borderId="1" applyAlignment="1" pivotButton="0" quotePrefix="0" xfId="0">
      <alignment horizontal="center" vertical="center"/>
    </xf>
    <xf numFmtId="0" fontId="3" fillId="0" borderId="0" applyAlignment="1" pivotButton="0" quotePrefix="0" xfId="0">
      <alignment horizontal="left" vertical="center" wrapText="1"/>
    </xf>
    <xf numFmtId="0" fontId="6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left" vertical="center"/>
    </xf>
    <xf numFmtId="164" fontId="7" fillId="3" borderId="1" applyAlignment="1" pivotButton="0" quotePrefix="0" xfId="0">
      <alignment horizontal="center" vertical="center"/>
    </xf>
    <xf numFmtId="165" fontId="3" fillId="6" borderId="1" applyAlignment="1" pivotButton="0" quotePrefix="0" xfId="0">
      <alignment horizontal="center" vertical="center"/>
    </xf>
    <xf numFmtId="165" fontId="3" fillId="5" borderId="1" applyAlignment="1" pivotButton="0" quotePrefix="0" xfId="0">
      <alignment horizontal="center" vertical="center"/>
    </xf>
    <xf numFmtId="165" fontId="5" fillId="6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left" vertical="center"/>
    </xf>
    <xf numFmtId="0" fontId="3" fillId="6" borderId="1" applyAlignment="1" pivotButton="0" quotePrefix="0" xfId="0">
      <alignment horizontal="left" vertical="center"/>
    </xf>
    <xf numFmtId="0" fontId="5" fillId="6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left" vertical="center"/>
    </xf>
    <xf numFmtId="0" fontId="5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left" vertical="center" wrapText="1"/>
    </xf>
    <xf numFmtId="0" fontId="3" fillId="5" borderId="1" applyAlignment="1" pivotButton="0" quotePrefix="0" xfId="0">
      <alignment horizontal="left" vertical="center" wrapText="1"/>
    </xf>
    <xf numFmtId="0" fontId="0" fillId="0" borderId="2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8" fillId="2" borderId="1" applyAlignment="1" pivotButton="0" quotePrefix="0" xfId="0">
      <alignment horizontal="left" vertical="center"/>
    </xf>
    <xf numFmtId="0" fontId="0" fillId="0" borderId="9" pivotButton="0" quotePrefix="0" xfId="0"/>
    <xf numFmtId="0" fontId="0" fillId="0" borderId="10" pivotButton="0" quotePrefix="0" xfId="0"/>
    <xf numFmtId="0" fontId="6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left" vertical="center"/>
    </xf>
    <xf numFmtId="0" fontId="3" fillId="6" borderId="1" applyAlignment="1" pivotButton="0" quotePrefix="0" xfId="0">
      <alignment horizontal="left" vertical="center"/>
    </xf>
    <xf numFmtId="0" fontId="4" fillId="2" borderId="1" applyAlignment="1" pivotButton="0" quotePrefix="0" xfId="0">
      <alignment horizontal="left" vertical="center"/>
    </xf>
    <xf numFmtId="0" fontId="5" fillId="5" borderId="1" applyAlignment="1" pivotButton="0" quotePrefix="0" xfId="0">
      <alignment horizontal="left" vertical="center"/>
    </xf>
    <xf numFmtId="165" fontId="3" fillId="6" borderId="1" applyAlignment="1" pivotButton="0" quotePrefix="0" xfId="0">
      <alignment horizontal="center" vertical="center"/>
    </xf>
    <xf numFmtId="165" fontId="3" fillId="5" borderId="1" applyAlignment="1" pivotButton="0" quotePrefix="0" xfId="0">
      <alignment horizontal="center" vertical="center"/>
    </xf>
    <xf numFmtId="165" fontId="5" fillId="6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left" vertical="center"/>
    </xf>
    <xf numFmtId="0" fontId="5" fillId="6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left" vertical="center" wrapText="1"/>
    </xf>
  </cellXfs>
  <cellStyles count="1">
    <cellStyle name="Normal" xfId="0" builtinId="0" hidden="0"/>
  </cellStyles>
  <dxfs count="2">
    <dxf>
      <fill>
        <patternFill patternType="solid">
          <fgColor rgb="00E2F0D9"/>
        </patternFill>
      </fill>
    </dxf>
    <dxf>
      <fill>
        <patternFill patternType="solid">
          <fgColor rgb="00FDE9E7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9"/>
  <sheetViews>
    <sheetView showGridLines="0" tabSelected="1" workbookViewId="0">
      <selection activeCell="A1" sqref="A1"/>
    </sheetView>
  </sheetViews>
  <sheetFormatPr baseColWidth="8" defaultRowHeight="15"/>
  <cols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/>
    <row r="2" ht="30.5" customHeight="1">
      <c r="B2" s="1" t="inlineStr">
        <is>
          <t>TransUnion 3-Statement Workflow | Full Track</t>
        </is>
      </c>
      <c r="C2" s="20" t="n"/>
      <c r="D2" s="20" t="n"/>
      <c r="E2" s="20" t="n"/>
      <c r="F2" s="20" t="n"/>
      <c r="G2" s="20" t="n"/>
      <c r="H2" s="21" t="n"/>
    </row>
    <row r="3" ht="20" customHeight="1">
      <c r="B3" s="22" t="n"/>
      <c r="H3" s="23" t="n"/>
    </row>
    <row r="4" ht="20" customHeight="1">
      <c r="B4" s="24" t="n"/>
      <c r="C4" s="25" t="n"/>
      <c r="D4" s="25" t="n"/>
      <c r="E4" s="25" t="n"/>
      <c r="F4" s="25" t="n"/>
      <c r="G4" s="25" t="n"/>
      <c r="H4" s="26" t="n"/>
    </row>
    <row r="5" ht="24" customHeight="1">
      <c r="B5" s="41" t="inlineStr">
        <is>
          <t>Full-track build with explicit IS, BS, CF, and balance-bridge logic.</t>
        </is>
      </c>
    </row>
    <row r="6" ht="20" customHeight="1"/>
    <row r="7" ht="24" customHeight="1">
      <c r="B7" s="6" t="inlineStr">
        <is>
          <t>• The model separates assumptions, statements, schedules, summary outputs, and checks.</t>
        </is>
      </c>
    </row>
    <row r="8" ht="24" customHeight="1">
      <c r="B8" s="6" t="inlineStr">
        <is>
          <t>• Forecasts roll through the income statement, selected balance-sheet lines, and cash build.</t>
        </is>
      </c>
    </row>
    <row r="9" ht="24" customHeight="1">
      <c r="B9" s="6" t="inlineStr">
        <is>
          <t>• This workbook intentionally bridges into the full DCF module.</t>
        </is>
      </c>
    </row>
    <row r="10" ht="20" customHeight="1"/>
    <row r="11" ht="20" customHeight="1"/>
  </sheetData>
  <mergeCells count="5">
    <mergeCell ref="B8:H8"/>
    <mergeCell ref="B9:H9"/>
    <mergeCell ref="B7:H7"/>
    <mergeCell ref="B2:H4"/>
    <mergeCell ref="B5:H5"/>
  </mergeCells>
  <pageMargins left="0.35" right="0.35" top="0.5" bottom="0.5" header="0.5" footer="0.5"/>
  <pageSetup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H8"/>
  <sheetViews>
    <sheetView showGridLines="0" workbookViewId="0">
      <selection activeCell="A1" sqref="A1"/>
    </sheetView>
  </sheetViews>
  <sheetFormatPr baseColWidth="8" defaultRowHeight="15"/>
  <cols>
    <col width="6" customWidth="1" min="2" max="2"/>
    <col width="110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</cols>
  <sheetData>
    <row r="1"/>
    <row r="2" ht="25" customHeight="1">
      <c r="B2" s="33" t="inlineStr">
        <is>
          <t>Build Sequence</t>
        </is>
      </c>
      <c r="C2" s="28" t="n"/>
      <c r="D2" s="28" t="n"/>
      <c r="E2" s="28" t="n"/>
      <c r="F2" s="28" t="n"/>
      <c r="G2" s="28" t="n"/>
      <c r="H2" s="29" t="n"/>
    </row>
    <row r="3"/>
    <row r="4" ht="19.5" customHeight="1">
      <c r="B4" s="5" t="n">
        <v>1</v>
      </c>
      <c r="C4" s="6" t="inlineStr">
        <is>
          <t>Work from Build_Map, then Assumptions, IS, Schedules, CF, and BS in order.</t>
        </is>
      </c>
    </row>
    <row r="5"/>
    <row r="6" ht="19.5" customHeight="1">
      <c r="B6" s="5" t="n">
        <v>2</v>
      </c>
      <c r="C6" s="6" t="inlineStr">
        <is>
          <t>The full-track file adds an actual balance sheet and cash flow statement that must tie.</t>
        </is>
      </c>
    </row>
    <row r="7"/>
    <row r="8" ht="19.5" customHeight="1">
      <c r="B8" s="5" t="n">
        <v>3</v>
      </c>
      <c r="C8" s="6" t="inlineStr">
        <is>
          <t>Use Summary and Checks only after the balance check is at or near zero.</t>
        </is>
      </c>
    </row>
  </sheetData>
  <mergeCells count="1">
    <mergeCell ref="B2:H2"/>
  </mergeCells>
  <pageMargins left="0.35" right="0.35" top="0.5" bottom="0.5" header="0.5" footer="0.5"/>
  <pageSetup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10"/>
  <sheetViews>
    <sheetView showGridLines="0" workbookViewId="0">
      <selection activeCell="A1" sqref="A1"/>
    </sheetView>
  </sheetViews>
  <sheetFormatPr baseColWidth="8" defaultRowHeight="15"/>
  <cols>
    <col width="16" customWidth="1" min="2" max="2"/>
    <col width="24" customWidth="1" min="3" max="3"/>
    <col width="68" customWidth="1" min="4" max="4"/>
  </cols>
  <sheetData>
    <row r="1"/>
    <row r="2" ht="22.5" customHeight="1">
      <c r="B2" s="27" t="inlineStr">
        <is>
          <t>Full Track Build Map</t>
        </is>
      </c>
      <c r="C2" s="28" t="n"/>
      <c r="D2" s="29" t="n"/>
    </row>
    <row r="3" ht="19.5" customHeight="1">
      <c r="B3" s="30" t="inlineStr">
        <is>
          <t>Sheet</t>
        </is>
      </c>
      <c r="C3" s="30" t="inlineStr">
        <is>
          <t>Purpose</t>
        </is>
      </c>
      <c r="D3" s="30" t="inlineStr">
        <is>
          <t>What You Build</t>
        </is>
      </c>
    </row>
    <row r="4" ht="19.5" customHeight="1">
      <c r="B4" s="31" t="inlineStr">
        <is>
          <t>Assumptions</t>
        </is>
      </c>
      <c r="C4" s="31" t="inlineStr">
        <is>
          <t>Forecast inputs</t>
        </is>
      </c>
      <c r="D4" s="19" t="inlineStr">
        <is>
          <t>Revenue growth, margins, capex, and NWC assumptions.</t>
        </is>
      </c>
    </row>
    <row r="5" ht="19.5" customHeight="1">
      <c r="B5" s="32" t="inlineStr">
        <is>
          <t>IS</t>
        </is>
      </c>
      <c r="C5" s="32" t="inlineStr">
        <is>
          <t>Income statement</t>
        </is>
      </c>
      <c r="D5" s="18" t="inlineStr">
        <is>
          <t>Forecast EBIT, taxes, and net income.</t>
        </is>
      </c>
    </row>
    <row r="6" ht="19.5" customHeight="1">
      <c r="B6" s="31" t="inlineStr">
        <is>
          <t>Schedules</t>
        </is>
      </c>
      <c r="C6" s="31" t="inlineStr">
        <is>
          <t>Operating support</t>
        </is>
      </c>
      <c r="D6" s="19" t="inlineStr">
        <is>
          <t>NWC, capex, and FCF-before-financing support.</t>
        </is>
      </c>
    </row>
    <row r="7" ht="19.5" customHeight="1">
      <c r="B7" s="32" t="inlineStr">
        <is>
          <t>CF</t>
        </is>
      </c>
      <c r="C7" s="32" t="inlineStr">
        <is>
          <t>Cash flow statement</t>
        </is>
      </c>
      <c r="D7" s="18" t="inlineStr">
        <is>
          <t>Walk net income to ending cash.</t>
        </is>
      </c>
    </row>
    <row r="8" ht="33" customHeight="1">
      <c r="B8" s="31" t="inlineStr">
        <is>
          <t>BS</t>
        </is>
      </c>
      <c r="C8" s="31" t="inlineStr">
        <is>
          <t>Balance sheet</t>
        </is>
      </c>
      <c r="D8" s="19" t="inlineStr">
        <is>
          <t>Roll cash, debt, equity, and net operating assets to a balance check.</t>
        </is>
      </c>
    </row>
    <row r="9" ht="19.5" customHeight="1">
      <c r="B9" s="32" t="inlineStr">
        <is>
          <t>Summary</t>
        </is>
      </c>
      <c r="C9" s="32" t="inlineStr">
        <is>
          <t>Output</t>
        </is>
      </c>
      <c r="D9" s="18" t="inlineStr">
        <is>
          <t>Surface the key operating and balance outputs.</t>
        </is>
      </c>
    </row>
    <row r="10" ht="19.5" customHeight="1">
      <c r="B10" s="31" t="inlineStr">
        <is>
          <t>Checks</t>
        </is>
      </c>
      <c r="C10" s="31" t="inlineStr">
        <is>
          <t>Audit</t>
        </is>
      </c>
      <c r="D10" s="19" t="inlineStr">
        <is>
          <t>Confirm the model ties and remains populated.</t>
        </is>
      </c>
    </row>
  </sheetData>
  <mergeCells count="1">
    <mergeCell ref="B2:D2"/>
  </mergeCells>
  <pageMargins left="0.35" right="0.35" top="0.5" bottom="0.5" header="0.5" footer="0.5"/>
  <pageSetup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H9"/>
  <sheetViews>
    <sheetView showGridLines="0" workbookViewId="0">
      <selection activeCell="A1" sqref="A1"/>
    </sheetView>
  </sheetViews>
  <sheetFormatPr baseColWidth="8" defaultRowHeight="15"/>
  <cols>
    <col width="22" customWidth="1" min="2" max="2"/>
    <col width="13" customWidth="1" min="3" max="3"/>
    <col width="14" customWidth="1" min="4" max="4"/>
    <col width="14" customWidth="1" min="5" max="5"/>
    <col width="14" customWidth="1" min="6" max="6"/>
    <col width="13" customWidth="1" min="7" max="7"/>
    <col width="13" customWidth="1" min="8" max="8"/>
  </cols>
  <sheetData>
    <row r="1"/>
    <row r="2" ht="25" customHeight="1">
      <c r="B2" s="33" t="inlineStr">
        <is>
          <t>Forecast Drivers</t>
        </is>
      </c>
      <c r="C2" s="28" t="n"/>
      <c r="D2" s="28" t="n"/>
      <c r="E2" s="28" t="n"/>
      <c r="F2" s="28" t="n"/>
      <c r="G2" s="28" t="n"/>
      <c r="H2" s="29" t="n"/>
    </row>
    <row r="3"/>
    <row r="4">
      <c r="D4" s="30" t="n">
        <v>2026</v>
      </c>
      <c r="E4" s="30" t="n">
        <v>2027</v>
      </c>
      <c r="F4" s="30" t="n">
        <v>2028</v>
      </c>
    </row>
    <row r="5" ht="19.5" customHeight="1">
      <c r="B5" s="34" t="inlineStr">
        <is>
          <t>Revenue Growth</t>
        </is>
      </c>
      <c r="D5" s="9" t="n">
        <v>0.08500000000000001</v>
      </c>
      <c r="E5" s="9" t="n">
        <v>0.07000000000000001</v>
      </c>
      <c r="F5" s="9" t="n">
        <v>0.06</v>
      </c>
    </row>
    <row r="6" ht="19.5" customHeight="1">
      <c r="B6" s="34" t="inlineStr">
        <is>
          <t>EBITDA Margin</t>
        </is>
      </c>
      <c r="D6" s="9" t="n">
        <v>0.315</v>
      </c>
      <c r="E6" s="9" t="n">
        <v>0.318</v>
      </c>
      <c r="F6" s="9" t="n">
        <v>0.32</v>
      </c>
    </row>
    <row r="7" ht="19.5" customHeight="1">
      <c r="B7" s="34" t="inlineStr">
        <is>
          <t>D&amp;A Margin</t>
        </is>
      </c>
      <c r="D7" s="9" t="n">
        <v>0.12</v>
      </c>
      <c r="E7" s="9" t="n">
        <v>0.117</v>
      </c>
      <c r="F7" s="9" t="n">
        <v>0.114</v>
      </c>
    </row>
    <row r="8" ht="19.5" customHeight="1">
      <c r="B8" s="34" t="inlineStr">
        <is>
          <t>Capex Margin</t>
        </is>
      </c>
      <c r="D8" s="9" t="n">
        <v>0.07000000000000001</v>
      </c>
      <c r="E8" s="9" t="n">
        <v>0.067</v>
      </c>
      <c r="F8" s="9" t="n">
        <v>0.065</v>
      </c>
    </row>
    <row r="9" ht="19.5" customHeight="1">
      <c r="B9" s="34" t="inlineStr">
        <is>
          <t>NWC Margin</t>
        </is>
      </c>
      <c r="D9" s="9" t="n">
        <v>0.094</v>
      </c>
      <c r="E9" s="9" t="n">
        <v>0.093</v>
      </c>
      <c r="F9" s="9" t="n">
        <v>0.092</v>
      </c>
    </row>
  </sheetData>
  <mergeCells count="1">
    <mergeCell ref="B2:H2"/>
  </mergeCells>
  <pageMargins left="0.35" right="0.35" top="0.5" bottom="0.5" header="0.5" footer="0.5"/>
  <pageSetup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I12"/>
  <sheetViews>
    <sheetView showGridLines="0" workbookViewId="0">
      <selection activeCell="A1" sqref="A1"/>
    </sheetView>
  </sheetViews>
  <sheetFormatPr baseColWidth="8" defaultRowHeight="15"/>
  <cols>
    <col width="20" customWidth="1" min="2" max="2"/>
    <col width="13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/>
    <row r="2" ht="25" customHeight="1">
      <c r="B2" s="33" t="inlineStr">
        <is>
          <t>Income Statement ($mm)</t>
        </is>
      </c>
      <c r="C2" s="28" t="n"/>
      <c r="D2" s="28" t="n"/>
      <c r="E2" s="28" t="n"/>
      <c r="F2" s="28" t="n"/>
      <c r="G2" s="28" t="n"/>
      <c r="H2" s="28" t="n"/>
      <c r="I2" s="29" t="n"/>
    </row>
    <row r="3"/>
    <row r="4">
      <c r="D4" s="30" t="n">
        <v>2023</v>
      </c>
      <c r="E4" s="30" t="n">
        <v>2024</v>
      </c>
      <c r="F4" s="30" t="n">
        <v>2025</v>
      </c>
      <c r="G4" s="30" t="n">
        <v>2026</v>
      </c>
      <c r="H4" s="30" t="n">
        <v>2027</v>
      </c>
      <c r="I4" s="30" t="n">
        <v>2028</v>
      </c>
    </row>
    <row r="5" ht="19.5" customHeight="1">
      <c r="B5" s="34" t="inlineStr">
        <is>
          <t>Revenue</t>
        </is>
      </c>
      <c r="D5" s="35" t="n">
        <v>3831.2</v>
      </c>
      <c r="E5" s="35" t="n">
        <v>4183.8</v>
      </c>
      <c r="F5" s="35" t="n">
        <v>4576.3</v>
      </c>
      <c r="G5" s="35">
        <f>F5*(1+Assumptions!G5)</f>
        <v/>
      </c>
      <c r="H5" s="35">
        <f>G5*(1+Assumptions!H5)</f>
        <v/>
      </c>
      <c r="I5" s="35">
        <f>H5*(1+Assumptions!I5)</f>
        <v/>
      </c>
    </row>
    <row r="6" ht="19.5" customHeight="1">
      <c r="B6" s="34" t="inlineStr">
        <is>
          <t>EBITDA</t>
        </is>
      </c>
      <c r="D6" s="36" t="n">
        <v>652.9</v>
      </c>
      <c r="E6" s="36" t="n">
        <v>1204.5</v>
      </c>
      <c r="F6" s="36" t="n">
        <v>1432.6</v>
      </c>
      <c r="G6" s="36">
        <f>G5*Assumptions!G6</f>
        <v/>
      </c>
      <c r="H6" s="36">
        <f>H5*Assumptions!H6</f>
        <v/>
      </c>
      <c r="I6" s="36">
        <f>I5*Assumptions!I6</f>
        <v/>
      </c>
    </row>
    <row r="7" ht="19.5" customHeight="1">
      <c r="B7" s="34" t="inlineStr">
        <is>
          <t>D&amp;A</t>
        </is>
      </c>
      <c r="D7" s="35" t="n">
        <v>524.4</v>
      </c>
      <c r="E7" s="35" t="n">
        <v>537.8</v>
      </c>
      <c r="F7" s="35" t="n">
        <v>574.8</v>
      </c>
      <c r="G7" s="35">
        <f>G5*Assumptions!G7</f>
        <v/>
      </c>
      <c r="H7" s="35">
        <f>H5*Assumptions!H7</f>
        <v/>
      </c>
      <c r="I7" s="35">
        <f>I5*Assumptions!I7</f>
        <v/>
      </c>
    </row>
    <row r="8" ht="19.5" customHeight="1">
      <c r="B8" s="34" t="inlineStr">
        <is>
          <t>EBIT</t>
        </is>
      </c>
      <c r="D8" s="36" t="n">
        <v>128.5</v>
      </c>
      <c r="E8" s="36" t="n">
        <v>666.7</v>
      </c>
      <c r="F8" s="36" t="n">
        <v>857.8</v>
      </c>
      <c r="G8" s="36">
        <f>G6-G7</f>
        <v/>
      </c>
      <c r="H8" s="36">
        <f>H6-H7</f>
        <v/>
      </c>
      <c r="I8" s="36">
        <f>I6-I7</f>
        <v/>
      </c>
    </row>
    <row r="9" ht="19.5" customHeight="1">
      <c r="B9" s="34" t="inlineStr">
        <is>
          <t>Interest</t>
        </is>
      </c>
      <c r="D9" s="35" t="n">
        <v>288.2</v>
      </c>
      <c r="E9" s="35" t="n">
        <v>265.2</v>
      </c>
      <c r="F9" s="35" t="n">
        <v>235.8</v>
      </c>
      <c r="G9" s="35">
        <f>F9</f>
        <v/>
      </c>
      <c r="H9" s="35">
        <f>F9</f>
        <v/>
      </c>
      <c r="I9" s="35">
        <f>F9</f>
        <v/>
      </c>
    </row>
    <row r="10" ht="19.5" customHeight="1">
      <c r="B10" s="34" t="inlineStr">
        <is>
          <t>Pretax Income</t>
        </is>
      </c>
      <c r="D10" s="36" t="n">
        <v>-159.7</v>
      </c>
      <c r="E10" s="36" t="n">
        <v>401.5</v>
      </c>
      <c r="F10" s="36" t="n">
        <v>622</v>
      </c>
      <c r="G10" s="36">
        <f>G8-G9</f>
        <v/>
      </c>
      <c r="H10" s="36">
        <f>H8-H9</f>
        <v/>
      </c>
      <c r="I10" s="36">
        <f>I8-I9</f>
        <v/>
      </c>
    </row>
    <row r="11" ht="19.5" customHeight="1">
      <c r="B11" s="34" t="inlineStr">
        <is>
          <t>Taxes</t>
        </is>
      </c>
      <c r="D11" s="35" t="n">
        <v>-39.925</v>
      </c>
      <c r="E11" s="35" t="n">
        <v>100.375</v>
      </c>
      <c r="F11" s="35" t="n">
        <v>155.5</v>
      </c>
      <c r="G11" s="35">
        <f>G10*0.25</f>
        <v/>
      </c>
      <c r="H11" s="35">
        <f>H10*0.25</f>
        <v/>
      </c>
      <c r="I11" s="35">
        <f>I10*0.25</f>
        <v/>
      </c>
    </row>
    <row r="12" ht="19.5" customHeight="1">
      <c r="B12" s="34" t="inlineStr">
        <is>
          <t>Net Income</t>
        </is>
      </c>
      <c r="D12" s="36" t="n">
        <v>-190.8</v>
      </c>
      <c r="E12" s="36" t="n">
        <v>302.3</v>
      </c>
      <c r="F12" s="36" t="n">
        <v>469.9</v>
      </c>
      <c r="G12" s="36">
        <f>G10-G11</f>
        <v/>
      </c>
      <c r="H12" s="36">
        <f>H10-H11</f>
        <v/>
      </c>
      <c r="I12" s="36">
        <f>I10-I11</f>
        <v/>
      </c>
    </row>
  </sheetData>
  <mergeCells count="1">
    <mergeCell ref="B2:I2"/>
  </mergeCells>
  <pageMargins left="0.35" right="0.35" top="0.5" bottom="0.5" header="0.5" footer="0.5"/>
  <pageSetup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I8"/>
  <sheetViews>
    <sheetView showGridLines="0" workbookViewId="0">
      <selection activeCell="A1" sqref="A1"/>
    </sheetView>
  </sheetViews>
  <sheetFormatPr baseColWidth="8" defaultRowHeight="15"/>
  <cols>
    <col width="24" customWidth="1" min="2" max="2"/>
    <col width="13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/>
    <row r="2" ht="25" customHeight="1">
      <c r="B2" s="33" t="inlineStr">
        <is>
          <t>Operating Support Schedules ($mm)</t>
        </is>
      </c>
      <c r="C2" s="28" t="n"/>
      <c r="D2" s="28" t="n"/>
      <c r="E2" s="28" t="n"/>
      <c r="F2" s="28" t="n"/>
      <c r="G2" s="28" t="n"/>
      <c r="H2" s="28" t="n"/>
      <c r="I2" s="29" t="n"/>
    </row>
    <row r="3"/>
    <row r="4">
      <c r="D4" s="30" t="n">
        <v>2023</v>
      </c>
      <c r="E4" s="30" t="n">
        <v>2024</v>
      </c>
      <c r="F4" s="30" t="n">
        <v>2025</v>
      </c>
      <c r="G4" s="30" t="n">
        <v>2026</v>
      </c>
      <c r="H4" s="30" t="n">
        <v>2027</v>
      </c>
      <c r="I4" s="30" t="n">
        <v>2028</v>
      </c>
    </row>
    <row r="5" ht="19.5" customHeight="1">
      <c r="B5" s="34" t="inlineStr">
        <is>
          <t>NWC</t>
        </is>
      </c>
      <c r="D5" s="35" t="n">
        <v>405.4</v>
      </c>
      <c r="E5" s="35" t="n">
        <v>388.6</v>
      </c>
      <c r="F5" s="35" t="n">
        <v>441.8</v>
      </c>
      <c r="G5" s="35">
        <f>IS!G5*Assumptions!G9</f>
        <v/>
      </c>
      <c r="H5" s="35">
        <f>IS!H5*Assumptions!H9</f>
        <v/>
      </c>
      <c r="I5" s="35">
        <f>IS!I5*Assumptions!I9</f>
        <v/>
      </c>
    </row>
    <row r="6" ht="19.5" customHeight="1">
      <c r="B6" s="34" t="inlineStr">
        <is>
          <t>Change in NWC</t>
        </is>
      </c>
      <c r="D6" s="36" t="n">
        <v>0</v>
      </c>
      <c r="E6" s="36" t="n">
        <v>-16.8</v>
      </c>
      <c r="F6" s="36" t="n">
        <v>53.2</v>
      </c>
      <c r="G6" s="36">
        <f>G5-F5</f>
        <v/>
      </c>
      <c r="H6" s="36">
        <f>H5-G5</f>
        <v/>
      </c>
      <c r="I6" s="36">
        <f>I5-H5</f>
        <v/>
      </c>
    </row>
    <row r="7" ht="19.5" customHeight="1">
      <c r="B7" s="34" t="inlineStr">
        <is>
          <t>Capex</t>
        </is>
      </c>
      <c r="D7" s="35" t="n">
        <v>310.7</v>
      </c>
      <c r="E7" s="35" t="n">
        <v>315.8</v>
      </c>
      <c r="F7" s="35" t="n">
        <v>326</v>
      </c>
      <c r="G7" s="35">
        <f>IS!G5*Assumptions!G8</f>
        <v/>
      </c>
      <c r="H7" s="35">
        <f>IS!H5*Assumptions!H8</f>
        <v/>
      </c>
      <c r="I7" s="35">
        <f>IS!I5*Assumptions!I8</f>
        <v/>
      </c>
    </row>
    <row r="8" ht="19.5" customHeight="1">
      <c r="B8" s="34" t="inlineStr">
        <is>
          <t>FCF Before Financing</t>
        </is>
      </c>
      <c r="D8" s="36" t="n">
        <v>22.9</v>
      </c>
      <c r="E8" s="36" t="n">
        <v>541.1</v>
      </c>
      <c r="F8" s="36" t="n">
        <v>665.5</v>
      </c>
      <c r="G8" s="36">
        <f>IS!G12+IS!G7-G7-G6</f>
        <v/>
      </c>
      <c r="H8" s="36">
        <f>IS!H12+IS!H7-H7-H6</f>
        <v/>
      </c>
      <c r="I8" s="36">
        <f>IS!I12+IS!I7-I7-I6</f>
        <v/>
      </c>
    </row>
  </sheetData>
  <mergeCells count="1">
    <mergeCell ref="B2:I2"/>
  </mergeCells>
  <pageMargins left="0.35" right="0.35" top="0.5" bottom="0.5" header="0.5" footer="0.5"/>
  <pageSetup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I13"/>
  <sheetViews>
    <sheetView showGridLines="0" workbookViewId="0">
      <selection activeCell="A1" sqref="A1"/>
    </sheetView>
  </sheetViews>
  <sheetFormatPr baseColWidth="8" defaultRowHeight="15"/>
  <cols>
    <col width="24" customWidth="1" min="2" max="2"/>
    <col width="13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/>
    <row r="2" ht="25" customHeight="1">
      <c r="B2" s="33" t="inlineStr">
        <is>
          <t>Cash Flow Statement ($mm)</t>
        </is>
      </c>
      <c r="C2" s="28" t="n"/>
      <c r="D2" s="28" t="n"/>
      <c r="E2" s="28" t="n"/>
      <c r="F2" s="28" t="n"/>
      <c r="G2" s="28" t="n"/>
      <c r="H2" s="28" t="n"/>
      <c r="I2" s="29" t="n"/>
    </row>
    <row r="3"/>
    <row r="4">
      <c r="D4" s="30" t="n">
        <v>2023</v>
      </c>
      <c r="E4" s="30" t="n">
        <v>2024</v>
      </c>
      <c r="F4" s="30" t="n">
        <v>2025</v>
      </c>
      <c r="G4" s="30" t="n">
        <v>2026</v>
      </c>
      <c r="H4" s="30" t="n">
        <v>2027</v>
      </c>
      <c r="I4" s="30" t="n">
        <v>2028</v>
      </c>
    </row>
    <row r="5" ht="19.5" customHeight="1">
      <c r="B5" s="34" t="inlineStr">
        <is>
          <t>Net Income</t>
        </is>
      </c>
      <c r="D5" s="35" t="n">
        <v>-190.8</v>
      </c>
      <c r="E5" s="35" t="n">
        <v>302.3</v>
      </c>
      <c r="F5" s="35" t="n">
        <v>469.9</v>
      </c>
      <c r="G5" s="35">
        <f>IS!G12</f>
        <v/>
      </c>
      <c r="H5" s="35">
        <f>IS!H12</f>
        <v/>
      </c>
      <c r="I5" s="35">
        <f>IS!I12</f>
        <v/>
      </c>
    </row>
    <row r="6" ht="19.5" customHeight="1">
      <c r="B6" s="34" t="inlineStr">
        <is>
          <t>D&amp;A</t>
        </is>
      </c>
      <c r="D6" s="36" t="n">
        <v>524.4</v>
      </c>
      <c r="E6" s="36" t="n">
        <v>537.8</v>
      </c>
      <c r="F6" s="36" t="n">
        <v>574.8</v>
      </c>
      <c r="G6" s="36">
        <f>IS!G7</f>
        <v/>
      </c>
      <c r="H6" s="36">
        <f>IS!H7</f>
        <v/>
      </c>
      <c r="I6" s="36">
        <f>IS!I7</f>
        <v/>
      </c>
    </row>
    <row r="7" ht="19.5" customHeight="1">
      <c r="B7" s="34" t="inlineStr">
        <is>
          <t>Capex</t>
        </is>
      </c>
      <c r="D7" s="35" t="n">
        <v>-310.7</v>
      </c>
      <c r="E7" s="35" t="n">
        <v>-315.8</v>
      </c>
      <c r="F7" s="35" t="n">
        <v>-326</v>
      </c>
      <c r="G7" s="35">
        <f>-Schedules!G7</f>
        <v/>
      </c>
      <c r="H7" s="35">
        <f>-Schedules!H7</f>
        <v/>
      </c>
      <c r="I7" s="35">
        <f>-Schedules!I7</f>
        <v/>
      </c>
    </row>
    <row r="8" ht="19.5" customHeight="1">
      <c r="B8" s="34" t="inlineStr">
        <is>
          <t>Change in NWC</t>
        </is>
      </c>
      <c r="D8" s="36" t="n">
        <v>0</v>
      </c>
      <c r="E8" s="36" t="n">
        <v>16.8</v>
      </c>
      <c r="F8" s="36" t="n">
        <v>-53.2</v>
      </c>
      <c r="G8" s="36">
        <f>-Schedules!G6</f>
        <v/>
      </c>
      <c r="H8" s="36">
        <f>-Schedules!H6</f>
        <v/>
      </c>
      <c r="I8" s="36">
        <f>-Schedules!I6</f>
        <v/>
      </c>
    </row>
    <row r="9" ht="33" customHeight="1">
      <c r="B9" s="42" t="inlineStr">
        <is>
          <t>Cash Flow Before Financing</t>
        </is>
      </c>
      <c r="D9" s="35" t="n">
        <v>22.9</v>
      </c>
      <c r="E9" s="35" t="n">
        <v>541.1</v>
      </c>
      <c r="F9" s="35" t="n">
        <v>665.5</v>
      </c>
      <c r="G9" s="35">
        <f>SUM(G5:G8)</f>
        <v/>
      </c>
      <c r="H9" s="35">
        <f>SUM(H5:H8)</f>
        <v/>
      </c>
      <c r="I9" s="35">
        <f>SUM(I5:I8)</f>
        <v/>
      </c>
    </row>
    <row r="10" ht="19.5" customHeight="1">
      <c r="B10" s="34" t="inlineStr">
        <is>
          <t>Change in Debt</t>
        </is>
      </c>
      <c r="D10" s="36" t="n">
        <v>0</v>
      </c>
      <c r="E10" s="36" t="n">
        <v>0</v>
      </c>
      <c r="F10" s="36" t="n">
        <v>0</v>
      </c>
      <c r="G10" s="36" t="inlineStr">
        <is>
          <t>0</t>
        </is>
      </c>
      <c r="H10" s="36" t="inlineStr">
        <is>
          <t>0</t>
        </is>
      </c>
      <c r="I10" s="36" t="inlineStr">
        <is>
          <t>0</t>
        </is>
      </c>
    </row>
    <row r="11" ht="19.5" customHeight="1">
      <c r="B11" s="34" t="inlineStr">
        <is>
          <t>Change in Cash</t>
        </is>
      </c>
      <c r="D11" s="35" t="n">
        <v>22.9</v>
      </c>
      <c r="E11" s="35" t="n">
        <v>541.1</v>
      </c>
      <c r="F11" s="35" t="n">
        <v>665.5</v>
      </c>
      <c r="G11" s="35">
        <f>G9+G10</f>
        <v/>
      </c>
      <c r="H11" s="35">
        <f>H9+H10</f>
        <v/>
      </c>
      <c r="I11" s="35">
        <f>I9+I10</f>
        <v/>
      </c>
    </row>
    <row r="12" ht="19.5" customHeight="1">
      <c r="B12" s="34" t="inlineStr">
        <is>
          <t>Beginning Cash</t>
        </is>
      </c>
      <c r="D12" s="36" t="n">
        <v>453.3</v>
      </c>
      <c r="E12" s="36" t="n">
        <v>138.4</v>
      </c>
      <c r="F12" s="36" t="n">
        <v>188.1</v>
      </c>
      <c r="G12" s="36">
        <f>F13</f>
        <v/>
      </c>
      <c r="H12" s="36">
        <f>G13</f>
        <v/>
      </c>
      <c r="I12" s="36">
        <f>H13</f>
        <v/>
      </c>
    </row>
    <row r="13" ht="19.5" customHeight="1">
      <c r="B13" s="34" t="inlineStr">
        <is>
          <t>Ending Cash</t>
        </is>
      </c>
      <c r="D13" s="35" t="n">
        <v>476.2</v>
      </c>
      <c r="E13" s="35" t="n">
        <v>679.5</v>
      </c>
      <c r="F13" s="35" t="n">
        <v>853.6</v>
      </c>
      <c r="G13" s="35">
        <f>G12+G11</f>
        <v/>
      </c>
      <c r="H13" s="35">
        <f>H12+H11</f>
        <v/>
      </c>
      <c r="I13" s="35">
        <f>I12+I11</f>
        <v/>
      </c>
    </row>
  </sheetData>
  <mergeCells count="1">
    <mergeCell ref="B2:I2"/>
  </mergeCells>
  <pageMargins left="0.35" right="0.35" top="0.5" bottom="0.5" header="0.5" footer="0.5"/>
  <pageSetup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I14"/>
  <sheetViews>
    <sheetView showGridLines="0" workbookViewId="0">
      <selection activeCell="A1" sqref="A1"/>
    </sheetView>
  </sheetViews>
  <sheetFormatPr baseColWidth="8" defaultRowHeight="15"/>
  <cols>
    <col width="24" customWidth="1" min="2" max="2"/>
    <col width="13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/>
    <row r="2" ht="25" customHeight="1">
      <c r="B2" s="33" t="inlineStr">
        <is>
          <t>Balance Sheet ($mm)</t>
        </is>
      </c>
      <c r="C2" s="28" t="n"/>
      <c r="D2" s="28" t="n"/>
      <c r="E2" s="28" t="n"/>
      <c r="F2" s="28" t="n"/>
      <c r="G2" s="28" t="n"/>
      <c r="H2" s="28" t="n"/>
      <c r="I2" s="29" t="n"/>
    </row>
    <row r="3"/>
    <row r="4">
      <c r="D4" s="30" t="n">
        <v>2023</v>
      </c>
      <c r="E4" s="30" t="n">
        <v>2024</v>
      </c>
      <c r="F4" s="30" t="n">
        <v>2025</v>
      </c>
      <c r="G4" s="30" t="n">
        <v>2026</v>
      </c>
      <c r="H4" s="30" t="n">
        <v>2027</v>
      </c>
      <c r="I4" s="30" t="n">
        <v>2028</v>
      </c>
    </row>
    <row r="5" ht="19.5" customHeight="1">
      <c r="B5" s="34" t="inlineStr">
        <is>
          <t>Cash</t>
        </is>
      </c>
      <c r="D5" s="35" t="n">
        <v>476.2</v>
      </c>
      <c r="E5" s="35" t="n">
        <v>679.5</v>
      </c>
      <c r="F5" s="35" t="n">
        <v>853.6</v>
      </c>
      <c r="G5" s="35">
        <f>CF!G13</f>
        <v/>
      </c>
      <c r="H5" s="35">
        <f>CF!H13</f>
        <v/>
      </c>
      <c r="I5" s="35">
        <f>CF!I13</f>
        <v/>
      </c>
    </row>
    <row r="6" ht="19.5" customHeight="1">
      <c r="B6" s="34" t="inlineStr">
        <is>
          <t>Net Working Capital</t>
        </is>
      </c>
      <c r="D6" s="36" t="n">
        <v>405.4</v>
      </c>
      <c r="E6" s="36" t="n">
        <v>388.6</v>
      </c>
      <c r="F6" s="36" t="n">
        <v>441.8</v>
      </c>
      <c r="G6" s="36">
        <f>Schedules!G5</f>
        <v/>
      </c>
      <c r="H6" s="36">
        <f>Schedules!H5</f>
        <v/>
      </c>
      <c r="I6" s="36">
        <f>Schedules!I5</f>
        <v/>
      </c>
    </row>
    <row r="7" ht="19.5" customHeight="1">
      <c r="B7" s="34" t="inlineStr">
        <is>
          <t>Net Operating Assets</t>
        </is>
      </c>
      <c r="D7" s="35" t="n">
        <v>10223.5</v>
      </c>
      <c r="E7" s="35" t="n">
        <v>9916.700000000001</v>
      </c>
      <c r="F7" s="35" t="n">
        <v>9817.5</v>
      </c>
      <c r="G7" s="35">
        <f>F7+Schedules!G7-IS!G7</f>
        <v/>
      </c>
      <c r="H7" s="35">
        <f>G7+Schedules!H7-IS!H7</f>
        <v/>
      </c>
      <c r="I7" s="35">
        <f>H7+Schedules!I7-IS!I7</f>
        <v/>
      </c>
    </row>
    <row r="8" ht="19.5" customHeight="1">
      <c r="B8" s="34" t="inlineStr">
        <is>
          <t>Total Assets</t>
        </is>
      </c>
      <c r="D8" s="36" t="n">
        <v>11105.1</v>
      </c>
      <c r="E8" s="36" t="n">
        <v>10984.8</v>
      </c>
      <c r="F8" s="36" t="n">
        <v>11112.9</v>
      </c>
      <c r="G8" s="36">
        <f>SUM(G5:G7)</f>
        <v/>
      </c>
      <c r="H8" s="36">
        <f>SUM(H5:H7)</f>
        <v/>
      </c>
      <c r="I8" s="36">
        <f>SUM(I5:I7)</f>
        <v/>
      </c>
    </row>
    <row r="9">
      <c r="B9" s="34" t="inlineStr"/>
      <c r="D9" s="35" t="n"/>
      <c r="E9" s="35" t="n"/>
      <c r="F9" s="35" t="n"/>
    </row>
    <row r="10" ht="19.5" customHeight="1">
      <c r="B10" s="34" t="inlineStr">
        <is>
          <t>Debt</t>
        </is>
      </c>
      <c r="D10" s="36" t="n">
        <v>5250.8</v>
      </c>
      <c r="E10" s="36" t="n">
        <v>5076.6</v>
      </c>
      <c r="F10" s="36" t="n">
        <v>5103.8</v>
      </c>
      <c r="G10" s="36">
        <f>F10</f>
        <v/>
      </c>
      <c r="H10" s="36">
        <f>G10</f>
        <v/>
      </c>
      <c r="I10" s="36">
        <f>H10</f>
        <v/>
      </c>
    </row>
    <row r="11" ht="19.5" customHeight="1">
      <c r="B11" s="34" t="inlineStr">
        <is>
          <t>Other Liabilities</t>
        </is>
      </c>
      <c r="D11" s="35" t="n">
        <v>1748.8</v>
      </c>
      <c r="E11" s="35" t="n">
        <v>1589.4</v>
      </c>
      <c r="F11" s="35" t="n">
        <v>1463.8</v>
      </c>
      <c r="G11" s="35">
        <f>F11</f>
        <v/>
      </c>
      <c r="H11" s="35">
        <f>G11</f>
        <v/>
      </c>
      <c r="I11" s="35">
        <f>H11</f>
        <v/>
      </c>
    </row>
    <row r="12" ht="19.5" customHeight="1">
      <c r="B12" s="34" t="inlineStr">
        <is>
          <t>Equity</t>
        </is>
      </c>
      <c r="D12" s="36" t="n">
        <v>4008.2</v>
      </c>
      <c r="E12" s="36" t="n">
        <v>4217</v>
      </c>
      <c r="F12" s="36" t="n">
        <v>4439.2</v>
      </c>
      <c r="G12" s="36">
        <f>F12+IS!G12</f>
        <v/>
      </c>
      <c r="H12" s="36">
        <f>G12+IS!H12</f>
        <v/>
      </c>
      <c r="I12" s="36">
        <f>H12+IS!I12</f>
        <v/>
      </c>
    </row>
    <row r="13" ht="33" customHeight="1">
      <c r="B13" s="42" t="inlineStr">
        <is>
          <t>Total Liabilities &amp; Equity</t>
        </is>
      </c>
      <c r="D13" s="35" t="n">
        <v>11007.8</v>
      </c>
      <c r="E13" s="35" t="n">
        <v>10883</v>
      </c>
      <c r="F13" s="35" t="n">
        <v>11006.8</v>
      </c>
      <c r="G13" s="35">
        <f>SUM(G10:G12)</f>
        <v/>
      </c>
      <c r="H13" s="35">
        <f>SUM(H10:H12)</f>
        <v/>
      </c>
      <c r="I13" s="35">
        <f>SUM(I10:I12)</f>
        <v/>
      </c>
    </row>
    <row r="14" ht="19.5" customHeight="1">
      <c r="B14" s="34" t="inlineStr">
        <is>
          <t>Balance Check</t>
        </is>
      </c>
      <c r="D14" s="36" t="n">
        <v>0</v>
      </c>
      <c r="E14" s="36" t="n">
        <v>0</v>
      </c>
      <c r="F14" s="36" t="n">
        <v>0</v>
      </c>
      <c r="G14" s="36">
        <f>G8-G13</f>
        <v/>
      </c>
      <c r="H14" s="36">
        <f>H8-H13</f>
        <v/>
      </c>
      <c r="I14" s="36">
        <f>I8-I13</f>
        <v/>
      </c>
    </row>
  </sheetData>
  <mergeCells count="1">
    <mergeCell ref="B2:I2"/>
  </mergeCells>
  <pageMargins left="0.35" right="0.35" top="0.5" bottom="0.5" header="0.5" footer="0.5"/>
  <pageSetup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H8"/>
  <sheetViews>
    <sheetView showGridLines="0" workbookViewId="0">
      <selection activeCell="A1" sqref="A1"/>
    </sheetView>
  </sheetViews>
  <sheetFormatPr baseColWidth="8" defaultRowHeight="15"/>
  <cols>
    <col width="24" customWidth="1" min="2" max="2"/>
    <col width="18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</cols>
  <sheetData>
    <row r="1"/>
    <row r="2" ht="25" customHeight="1">
      <c r="B2" s="33" t="inlineStr">
        <is>
          <t>Analyst Summary | Full Track</t>
        </is>
      </c>
      <c r="C2" s="28" t="n"/>
      <c r="D2" s="28" t="n"/>
      <c r="E2" s="28" t="n"/>
      <c r="F2" s="28" t="n"/>
      <c r="G2" s="28" t="n"/>
      <c r="H2" s="29" t="n"/>
    </row>
    <row r="3"/>
    <row r="4" ht="19.5" customHeight="1">
      <c r="B4" s="34" t="inlineStr">
        <is>
          <t>2026 Revenue</t>
        </is>
      </c>
      <c r="C4" s="37">
        <f>IS!G5</f>
        <v/>
      </c>
    </row>
    <row r="5" ht="19.5" customHeight="1">
      <c r="B5" s="34" t="inlineStr">
        <is>
          <t>2026 EBITDA</t>
        </is>
      </c>
      <c r="C5" s="37">
        <f>IS!G6</f>
        <v/>
      </c>
    </row>
    <row r="6" ht="19.5" customHeight="1">
      <c r="B6" s="34" t="inlineStr">
        <is>
          <t>2026 Ending Cash</t>
        </is>
      </c>
      <c r="C6" s="37">
        <f>BS!G5</f>
        <v/>
      </c>
    </row>
    <row r="7" ht="19.5" customHeight="1">
      <c r="B7" s="34" t="inlineStr">
        <is>
          <t>2028 Ending Cash</t>
        </is>
      </c>
      <c r="C7" s="37">
        <f>BS!I5</f>
        <v/>
      </c>
    </row>
    <row r="8" ht="19.5" customHeight="1">
      <c r="B8" s="34" t="inlineStr">
        <is>
          <t>2028 Balance Check</t>
        </is>
      </c>
      <c r="C8" s="37">
        <f>BS!I14</f>
        <v/>
      </c>
    </row>
  </sheetData>
  <mergeCells count="1">
    <mergeCell ref="B2:H2"/>
  </mergeCells>
  <pageMargins left="0.35" right="0.35" top="0.5" bottom="0.5" header="0.5" footer="0.5"/>
  <pageSetup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H8"/>
  <sheetViews>
    <sheetView showGridLines="0" workbookViewId="0">
      <selection activeCell="A1" sqref="A1"/>
    </sheetView>
  </sheetViews>
  <sheetFormatPr baseColWidth="8" defaultRowHeight="15"/>
  <cols>
    <col width="70" customWidth="1" min="2" max="2"/>
    <col width="16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</cols>
  <sheetData>
    <row r="1"/>
    <row r="2" ht="25" customHeight="1">
      <c r="B2" s="33" t="inlineStr">
        <is>
          <t>Checks &amp; Audit</t>
        </is>
      </c>
      <c r="C2" s="28" t="n"/>
      <c r="D2" s="28" t="n"/>
      <c r="E2" s="28" t="n"/>
      <c r="F2" s="28" t="n"/>
      <c r="G2" s="28" t="n"/>
      <c r="H2" s="29" t="n"/>
    </row>
    <row r="3"/>
    <row r="4" ht="19.5" customHeight="1">
      <c r="B4" s="38" t="inlineStr">
        <is>
          <t>Check</t>
        </is>
      </c>
      <c r="C4" s="38" t="inlineStr">
        <is>
          <t>Status</t>
        </is>
      </c>
    </row>
    <row r="5" ht="33" customHeight="1">
      <c r="B5" s="18" t="inlineStr">
        <is>
          <t>Forecast ending cash rolls from the cash flow statement into the balance sheet</t>
        </is>
      </c>
      <c r="C5" s="39">
        <f>IF(ABS(BS!I5-CF!I13)&lt;0.1,"OK","CHECK")</f>
        <v/>
      </c>
    </row>
    <row r="6" ht="19.5" customHeight="1">
      <c r="B6" s="31" t="inlineStr">
        <is>
          <t>Full-track balance check is at or near zero in 2028</t>
        </is>
      </c>
      <c r="C6" s="40">
        <f>IF(ABS(BS!I14)&lt;0.1,"OK","CHECK")</f>
        <v/>
      </c>
    </row>
    <row r="7" ht="19.5" customHeight="1">
      <c r="B7" s="32" t="inlineStr">
        <is>
          <t>Net income line is populated for forecast years</t>
        </is>
      </c>
      <c r="C7" s="39">
        <f>IF(COUNT(IS!G12:I12)=3,"OK","CHECK")</f>
        <v/>
      </c>
    </row>
    <row r="8" ht="19.5" customHeight="1">
      <c r="B8" s="31" t="inlineStr">
        <is>
          <t>Ending cash remains positive through the forecast</t>
        </is>
      </c>
      <c r="C8" s="40">
        <f>IF(MIN(BS!G5:I5)&gt;0,"OK","CHECK")</f>
        <v/>
      </c>
    </row>
  </sheetData>
  <mergeCells count="1">
    <mergeCell ref="B2:H2"/>
  </mergeCells>
  <conditionalFormatting sqref="C5:C8">
    <cfRule type="cellIs" priority="1" operator="equal" dxfId="0">
      <formula>"OK"</formula>
    </cfRule>
    <cfRule type="cellIs" priority="2" operator="notEqual" dxfId="1">
      <formula>"OK"</formula>
    </cfRule>
  </conditionalFormatting>
  <pageMargins left="0.35" right="0.35" top="0.5" bottom="0.5" header="0.5" footer="0.5"/>
  <pageSetup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H7"/>
  <sheetViews>
    <sheetView showGridLines="0" workbookViewId="0">
      <pane xSplit="1" ySplit="3" topLeftCell="B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8" customWidth="1" min="2" max="2"/>
    <col width="24" customWidth="1" min="3" max="3"/>
    <col width="28" customWidth="1" min="4" max="4"/>
    <col width="12" customWidth="1" min="5" max="5"/>
    <col width="48" customWidth="1" min="6" max="6"/>
    <col width="34" customWidth="1" min="7" max="7"/>
    <col width="48" customWidth="1" min="8" max="8"/>
  </cols>
  <sheetData>
    <row r="1"/>
    <row r="2" ht="25" customHeight="1">
      <c r="B2" s="33" t="inlineStr">
        <is>
          <t>Source Notes</t>
        </is>
      </c>
      <c r="C2" s="28" t="n"/>
      <c r="D2" s="28" t="n"/>
      <c r="E2" s="28" t="n"/>
      <c r="F2" s="28" t="n"/>
      <c r="G2" s="28" t="n"/>
      <c r="H2" s="29" t="n"/>
    </row>
    <row r="3"/>
    <row r="4" ht="19.5" customHeight="1">
      <c r="B4" s="30" t="inlineStr">
        <is>
          <t>Category</t>
        </is>
      </c>
      <c r="C4" s="30" t="inlineStr">
        <is>
          <t>Entity</t>
        </is>
      </c>
      <c r="D4" s="30" t="inlineStr">
        <is>
          <t>Document</t>
        </is>
      </c>
      <c r="E4" s="30" t="inlineStr">
        <is>
          <t>As of</t>
        </is>
      </c>
      <c r="F4" s="30" t="inlineStr">
        <is>
          <t>URL</t>
        </is>
      </c>
      <c r="G4" s="30" t="inlineStr">
        <is>
          <t>Local File</t>
        </is>
      </c>
      <c r="H4" s="30" t="inlineStr">
        <is>
          <t>Notes</t>
        </is>
      </c>
    </row>
    <row r="5" ht="33" customHeight="1">
      <c r="B5" s="32" t="inlineStr">
        <is>
          <t>DCF</t>
        </is>
      </c>
      <c r="C5" s="32" t="inlineStr">
        <is>
          <t>TransUnion</t>
        </is>
      </c>
      <c r="D5" s="32" t="inlineStr">
        <is>
          <t>2025 10-K</t>
        </is>
      </c>
      <c r="E5" s="18" t="inlineStr">
        <is>
          <t>2025-12-31</t>
        </is>
      </c>
      <c r="F5" s="18" t="inlineStr">
        <is>
          <t>https://www.sec.gov/Archives/edgar/data/1552033/000155203326000012/tru-20251231.htm</t>
        </is>
      </c>
      <c r="G5" s="18" t="inlineStr">
        <is>
          <t>data/raw/reference_html/tru_2025_10k.html</t>
        </is>
      </c>
      <c r="H5" s="18" t="inlineStr">
        <is>
          <t>Historical actuals and balance-sheet data.</t>
        </is>
      </c>
    </row>
    <row r="6" ht="33" customHeight="1">
      <c r="B6" s="31" t="inlineStr">
        <is>
          <t>DCF</t>
        </is>
      </c>
      <c r="C6" s="31" t="inlineStr">
        <is>
          <t>TransUnion</t>
        </is>
      </c>
      <c r="D6" s="31" t="inlineStr">
        <is>
          <t>2026 Earnings Release</t>
        </is>
      </c>
      <c r="E6" s="19" t="inlineStr">
        <is>
          <t>2026-02-12</t>
        </is>
      </c>
      <c r="F6" s="19" t="inlineStr">
        <is>
          <t>https://www.sec.gov/Archives/edgar/data/1552033/000155203326000006/exhibit99112312025.htm</t>
        </is>
      </c>
      <c r="G6" s="19" t="inlineStr">
        <is>
          <t>data/raw/reference_html/tru_2026_guidance.html</t>
        </is>
      </c>
      <c r="H6" s="19" t="inlineStr">
        <is>
          <t>Management 2026 revenue and adjusted EBITDA guidance.</t>
        </is>
      </c>
    </row>
    <row r="7" ht="33" customHeight="1">
      <c r="B7" s="32" t="inlineStr">
        <is>
          <t>Valuation</t>
        </is>
      </c>
      <c r="C7" s="32" t="inlineStr">
        <is>
          <t>Damodaran</t>
        </is>
      </c>
      <c r="D7" s="32" t="inlineStr">
        <is>
          <t>Implied ERP Update</t>
        </is>
      </c>
      <c r="E7" s="18" t="inlineStr">
        <is>
          <t>2026-04-01</t>
        </is>
      </c>
      <c r="F7" s="18" t="inlineStr">
        <is>
          <t>https://pages.stern.nyu.edu/~adamodar/New_Home_Page/home.htm</t>
        </is>
      </c>
      <c r="G7" s="18" t="inlineStr">
        <is>
          <t>data/raw/reference_html/damodaran_home_apr_2026.html</t>
        </is>
      </c>
      <c r="H7" s="18" t="inlineStr">
        <is>
          <t>Used for U.S. ERP and risk-free rate assumptions.</t>
        </is>
      </c>
    </row>
  </sheetData>
  <mergeCells count="1">
    <mergeCell ref="B2:H2"/>
  </mergeCells>
  <pageMargins left="0.35" right="0.35" top="0.5" bottom="0.5" header="0.5" footer="0.5"/>
  <pageSetup fitToHeight="0" fitToWidth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Jordan Mahmood</dc:creator>
  <dcterms:created xsi:type="dcterms:W3CDTF">2026-04-23T17:34:12Z</dcterms:created>
  <dcterms:modified xsi:type="dcterms:W3CDTF">2026-04-23T18:35:08+00:00Z</dcterms:modified>
  <cp:lastModifiedBy>Jordan Mahmood</cp:lastModifiedBy>
</cp:coreProperties>
</file>