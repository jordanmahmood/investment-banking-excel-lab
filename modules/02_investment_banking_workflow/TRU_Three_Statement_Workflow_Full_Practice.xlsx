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Build_Map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IS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BS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3-Statement Workflow | Full Track</t>
        </is>
      </c>
      <c r="C2" s="20" t="n"/>
      <c r="D2" s="20" t="n"/>
      <c r="E2" s="20" t="n"/>
      <c r="F2" s="20" t="n"/>
      <c r="G2" s="20" t="n"/>
      <c r="H2" s="21" t="n"/>
    </row>
    <row r="3" ht="20" customHeight="1">
      <c r="B3" s="22" t="n"/>
      <c r="H3" s="23" t="n"/>
    </row>
    <row r="4" ht="20" customHeight="1">
      <c r="B4" s="24" t="n"/>
      <c r="C4" s="25" t="n"/>
      <c r="D4" s="25" t="n"/>
      <c r="E4" s="25" t="n"/>
      <c r="F4" s="25" t="n"/>
      <c r="G4" s="25" t="n"/>
      <c r="H4" s="26" t="n"/>
    </row>
    <row r="5" ht="24" customHeight="1">
      <c r="B5" s="44" t="inlineStr">
        <is>
          <t>Full-track build with explicit IS, BS, CF, and balance-bridge logic.</t>
        </is>
      </c>
    </row>
    <row r="6" ht="20" customHeight="1"/>
    <row r="7" ht="24" customHeight="1">
      <c r="B7" s="6" t="inlineStr">
        <is>
          <t>• The model separates assumptions, statements, schedules, summary outputs, and checks.</t>
        </is>
      </c>
    </row>
    <row r="8" ht="24" customHeight="1">
      <c r="B8" s="6" t="inlineStr">
        <is>
          <t>• Forecasts roll through the income statement, selected balance-sheet lines, and cash build.</t>
        </is>
      </c>
    </row>
    <row r="9" ht="24" customHeight="1">
      <c r="B9" s="6" t="inlineStr">
        <is>
          <t>• This workbook intentionally bridges into the full DCF module.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Build Sequence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5" t="n">
        <v>1</v>
      </c>
      <c r="C4" s="6" t="inlineStr">
        <is>
          <t>Work from Build_Map, then Assumptions, IS, Schedules, CF, and BS in order.</t>
        </is>
      </c>
    </row>
    <row r="5"/>
    <row r="6" ht="19.5" customHeight="1">
      <c r="B6" s="5" t="n">
        <v>2</v>
      </c>
      <c r="C6" s="6" t="inlineStr">
        <is>
          <t>The full-track file adds an actual balance sheet and cash flow statement that must tie.</t>
        </is>
      </c>
    </row>
    <row r="7"/>
    <row r="8" ht="19.5" customHeight="1">
      <c r="B8" s="5" t="n">
        <v>3</v>
      </c>
      <c r="C8" s="6" t="inlineStr">
        <is>
          <t>Use Summary and Checks only after the balance check is at or near zero.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4" customWidth="1" min="3" max="3"/>
    <col width="68" customWidth="1" min="4" max="4"/>
  </cols>
  <sheetData>
    <row r="1"/>
    <row r="2" ht="22.5" customHeight="1">
      <c r="B2" s="27" t="inlineStr">
        <is>
          <t>Full Track Build Map</t>
        </is>
      </c>
      <c r="C2" s="28" t="n"/>
      <c r="D2" s="29" t="n"/>
    </row>
    <row r="3" ht="19.5" customHeight="1">
      <c r="B3" s="30" t="inlineStr">
        <is>
          <t>Sheet</t>
        </is>
      </c>
      <c r="C3" s="30" t="inlineStr">
        <is>
          <t>Purpose</t>
        </is>
      </c>
      <c r="D3" s="30" t="inlineStr">
        <is>
          <t>What You Build</t>
        </is>
      </c>
    </row>
    <row r="4" ht="19.5" customHeight="1">
      <c r="B4" s="31" t="inlineStr">
        <is>
          <t>Assumptions</t>
        </is>
      </c>
      <c r="C4" s="31" t="inlineStr">
        <is>
          <t>Forecast inputs</t>
        </is>
      </c>
      <c r="D4" s="19" t="inlineStr">
        <is>
          <t>Revenue growth, margins, capex, and NWC assumptions.</t>
        </is>
      </c>
    </row>
    <row r="5" ht="19.5" customHeight="1">
      <c r="B5" s="32" t="inlineStr">
        <is>
          <t>IS</t>
        </is>
      </c>
      <c r="C5" s="32" t="inlineStr">
        <is>
          <t>Income statement</t>
        </is>
      </c>
      <c r="D5" s="18" t="inlineStr">
        <is>
          <t>Forecast EBIT, taxes, and net income.</t>
        </is>
      </c>
    </row>
    <row r="6" ht="19.5" customHeight="1">
      <c r="B6" s="31" t="inlineStr">
        <is>
          <t>Schedules</t>
        </is>
      </c>
      <c r="C6" s="31" t="inlineStr">
        <is>
          <t>Operating support</t>
        </is>
      </c>
      <c r="D6" s="19" t="inlineStr">
        <is>
          <t>NWC, capex, and FCF-before-financing support.</t>
        </is>
      </c>
    </row>
    <row r="7" ht="19.5" customHeight="1">
      <c r="B7" s="32" t="inlineStr">
        <is>
          <t>CF</t>
        </is>
      </c>
      <c r="C7" s="32" t="inlineStr">
        <is>
          <t>Cash flow statement</t>
        </is>
      </c>
      <c r="D7" s="18" t="inlineStr">
        <is>
          <t>Walk net income to ending cash.</t>
        </is>
      </c>
    </row>
    <row r="8" ht="33" customHeight="1">
      <c r="B8" s="31" t="inlineStr">
        <is>
          <t>BS</t>
        </is>
      </c>
      <c r="C8" s="31" t="inlineStr">
        <is>
          <t>Balance sheet</t>
        </is>
      </c>
      <c r="D8" s="19" t="inlineStr">
        <is>
          <t>Roll cash, debt, equity, and net operating assets to a balance check.</t>
        </is>
      </c>
    </row>
    <row r="9" ht="19.5" customHeight="1">
      <c r="B9" s="32" t="inlineStr">
        <is>
          <t>Summary</t>
        </is>
      </c>
      <c r="C9" s="32" t="inlineStr">
        <is>
          <t>Output</t>
        </is>
      </c>
      <c r="D9" s="18" t="inlineStr">
        <is>
          <t>Surface the key operating and balance outputs.</t>
        </is>
      </c>
    </row>
    <row r="10" ht="19.5" customHeight="1">
      <c r="B10" s="31" t="inlineStr">
        <is>
          <t>Checks</t>
        </is>
      </c>
      <c r="C10" s="31" t="inlineStr">
        <is>
          <t>Audit</t>
        </is>
      </c>
      <c r="D10" s="19" t="inlineStr">
        <is>
          <t>Confirm the model ties and remains populated.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Forecast Drivers</t>
        </is>
      </c>
      <c r="C2" s="28" t="n"/>
      <c r="D2" s="28" t="n"/>
      <c r="E2" s="28" t="n"/>
      <c r="F2" s="28" t="n"/>
      <c r="G2" s="28" t="n"/>
      <c r="H2" s="29" t="n"/>
    </row>
    <row r="3"/>
    <row r="4">
      <c r="D4" s="30" t="n">
        <v>2026</v>
      </c>
      <c r="E4" s="30" t="n">
        <v>2027</v>
      </c>
      <c r="F4" s="30" t="n">
        <v>2028</v>
      </c>
    </row>
    <row r="5" ht="19.5" customHeight="1">
      <c r="B5" s="34" t="inlineStr">
        <is>
          <t>Revenue Growth</t>
        </is>
      </c>
      <c r="D5" s="41" t="n"/>
      <c r="E5" s="41" t="n"/>
      <c r="F5" s="41" t="n"/>
    </row>
    <row r="6" ht="19.5" customHeight="1">
      <c r="B6" s="34" t="inlineStr">
        <is>
          <t>EBITDA Margin</t>
        </is>
      </c>
      <c r="D6" s="41" t="n"/>
      <c r="E6" s="41" t="n"/>
      <c r="F6" s="41" t="n"/>
    </row>
    <row r="7" ht="19.5" customHeight="1">
      <c r="B7" s="34" t="inlineStr">
        <is>
          <t>D&amp;A Margin</t>
        </is>
      </c>
      <c r="D7" s="41" t="n"/>
      <c r="E7" s="41" t="n"/>
      <c r="F7" s="41" t="n"/>
    </row>
    <row r="8" ht="19.5" customHeight="1">
      <c r="B8" s="34" t="inlineStr">
        <is>
          <t>Capex Margin</t>
        </is>
      </c>
      <c r="D8" s="41" t="n"/>
      <c r="E8" s="41" t="n"/>
      <c r="F8" s="41" t="n"/>
    </row>
    <row r="9" ht="19.5" customHeight="1">
      <c r="B9" s="34" t="inlineStr">
        <is>
          <t>NWC Margin</t>
        </is>
      </c>
      <c r="D9" s="41" t="n"/>
      <c r="E9" s="41" t="n"/>
      <c r="F9" s="41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Income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Revenue</t>
        </is>
      </c>
      <c r="D5" s="35" t="n">
        <v>3831.2</v>
      </c>
      <c r="E5" s="35" t="n">
        <v>4183.8</v>
      </c>
      <c r="F5" s="35" t="n">
        <v>4576.3</v>
      </c>
      <c r="G5" s="42" t="n"/>
      <c r="H5" s="42" t="n"/>
      <c r="I5" s="42" t="n"/>
    </row>
    <row r="6" ht="19.5" customHeight="1">
      <c r="B6" s="34" t="inlineStr">
        <is>
          <t>EBITDA</t>
        </is>
      </c>
      <c r="D6" s="36" t="n">
        <v>652.9</v>
      </c>
      <c r="E6" s="36" t="n">
        <v>1204.5</v>
      </c>
      <c r="F6" s="36" t="n">
        <v>1432.6</v>
      </c>
      <c r="G6" s="42" t="n"/>
      <c r="H6" s="42" t="n"/>
      <c r="I6" s="42" t="n"/>
    </row>
    <row r="7" ht="19.5" customHeight="1">
      <c r="B7" s="34" t="inlineStr">
        <is>
          <t>D&amp;A</t>
        </is>
      </c>
      <c r="D7" s="35" t="n">
        <v>524.4</v>
      </c>
      <c r="E7" s="35" t="n">
        <v>537.8</v>
      </c>
      <c r="F7" s="35" t="n">
        <v>574.8</v>
      </c>
      <c r="G7" s="42" t="n"/>
      <c r="H7" s="42" t="n"/>
      <c r="I7" s="42" t="n"/>
    </row>
    <row r="8" ht="19.5" customHeight="1">
      <c r="B8" s="34" t="inlineStr">
        <is>
          <t>EBIT</t>
        </is>
      </c>
      <c r="D8" s="36" t="n">
        <v>128.5</v>
      </c>
      <c r="E8" s="36" t="n">
        <v>666.7</v>
      </c>
      <c r="F8" s="36" t="n">
        <v>857.8</v>
      </c>
      <c r="G8" s="42" t="n"/>
      <c r="H8" s="42" t="n"/>
      <c r="I8" s="42" t="n"/>
    </row>
    <row r="9" ht="19.5" customHeight="1">
      <c r="B9" s="34" t="inlineStr">
        <is>
          <t>Interest</t>
        </is>
      </c>
      <c r="D9" s="35" t="n">
        <v>288.2</v>
      </c>
      <c r="E9" s="35" t="n">
        <v>265.2</v>
      </c>
      <c r="F9" s="35" t="n">
        <v>235.8</v>
      </c>
      <c r="G9" s="42" t="n"/>
      <c r="H9" s="42" t="n"/>
      <c r="I9" s="42" t="n"/>
    </row>
    <row r="10" ht="19.5" customHeight="1">
      <c r="B10" s="34" t="inlineStr">
        <is>
          <t>Pretax Income</t>
        </is>
      </c>
      <c r="D10" s="36" t="n">
        <v>-159.7</v>
      </c>
      <c r="E10" s="36" t="n">
        <v>401.5</v>
      </c>
      <c r="F10" s="36" t="n">
        <v>622</v>
      </c>
      <c r="G10" s="42" t="n"/>
      <c r="H10" s="42" t="n"/>
      <c r="I10" s="42" t="n"/>
    </row>
    <row r="11" ht="19.5" customHeight="1">
      <c r="B11" s="34" t="inlineStr">
        <is>
          <t>Taxes</t>
        </is>
      </c>
      <c r="D11" s="35" t="n">
        <v>-39.925</v>
      </c>
      <c r="E11" s="35" t="n">
        <v>100.375</v>
      </c>
      <c r="F11" s="35" t="n">
        <v>155.5</v>
      </c>
      <c r="G11" s="42" t="n"/>
      <c r="H11" s="42" t="n"/>
      <c r="I11" s="42" t="n"/>
    </row>
    <row r="12" ht="19.5" customHeight="1">
      <c r="B12" s="34" t="inlineStr">
        <is>
          <t>Net Income</t>
        </is>
      </c>
      <c r="D12" s="36" t="n">
        <v>-190.8</v>
      </c>
      <c r="E12" s="36" t="n">
        <v>302.3</v>
      </c>
      <c r="F12" s="36" t="n">
        <v>469.9</v>
      </c>
      <c r="G12" s="42" t="n"/>
      <c r="H12" s="42" t="n"/>
      <c r="I12" s="42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Operating Support Schedules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NWC</t>
        </is>
      </c>
      <c r="D5" s="35" t="n">
        <v>405.4</v>
      </c>
      <c r="E5" s="35" t="n">
        <v>388.6</v>
      </c>
      <c r="F5" s="35" t="n">
        <v>441.8</v>
      </c>
      <c r="G5" s="42" t="n"/>
      <c r="H5" s="42" t="n"/>
      <c r="I5" s="42" t="n"/>
    </row>
    <row r="6" ht="19.5" customHeight="1">
      <c r="B6" s="34" t="inlineStr">
        <is>
          <t>Change in NWC</t>
        </is>
      </c>
      <c r="D6" s="36" t="n">
        <v>0</v>
      </c>
      <c r="E6" s="36" t="n">
        <v>-16.8</v>
      </c>
      <c r="F6" s="36" t="n">
        <v>53.2</v>
      </c>
      <c r="G6" s="42" t="n"/>
      <c r="H6" s="42" t="n"/>
      <c r="I6" s="42" t="n"/>
    </row>
    <row r="7" ht="19.5" customHeight="1">
      <c r="B7" s="34" t="inlineStr">
        <is>
          <t>Capex</t>
        </is>
      </c>
      <c r="D7" s="35" t="n">
        <v>310.7</v>
      </c>
      <c r="E7" s="35" t="n">
        <v>315.8</v>
      </c>
      <c r="F7" s="35" t="n">
        <v>326</v>
      </c>
      <c r="G7" s="42" t="n"/>
      <c r="H7" s="42" t="n"/>
      <c r="I7" s="42" t="n"/>
    </row>
    <row r="8" ht="19.5" customHeight="1">
      <c r="B8" s="34" t="inlineStr">
        <is>
          <t>FCF Before Financing</t>
        </is>
      </c>
      <c r="D8" s="36" t="n">
        <v>22.9</v>
      </c>
      <c r="E8" s="36" t="n">
        <v>541.1</v>
      </c>
      <c r="F8" s="36" t="n">
        <v>665.5</v>
      </c>
      <c r="G8" s="42" t="n"/>
      <c r="H8" s="42" t="n"/>
      <c r="I8" s="42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Cash Flow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Net Income</t>
        </is>
      </c>
      <c r="D5" s="35" t="n">
        <v>-190.8</v>
      </c>
      <c r="E5" s="35" t="n">
        <v>302.3</v>
      </c>
      <c r="F5" s="35" t="n">
        <v>469.9</v>
      </c>
      <c r="G5" s="42" t="n"/>
      <c r="H5" s="42" t="n"/>
      <c r="I5" s="42" t="n"/>
    </row>
    <row r="6" ht="19.5" customHeight="1">
      <c r="B6" s="34" t="inlineStr">
        <is>
          <t>D&amp;A</t>
        </is>
      </c>
      <c r="D6" s="36" t="n">
        <v>524.4</v>
      </c>
      <c r="E6" s="36" t="n">
        <v>537.8</v>
      </c>
      <c r="F6" s="36" t="n">
        <v>574.8</v>
      </c>
      <c r="G6" s="42" t="n"/>
      <c r="H6" s="42" t="n"/>
      <c r="I6" s="42" t="n"/>
    </row>
    <row r="7" ht="19.5" customHeight="1">
      <c r="B7" s="34" t="inlineStr">
        <is>
          <t>Capex</t>
        </is>
      </c>
      <c r="D7" s="35" t="n">
        <v>-310.7</v>
      </c>
      <c r="E7" s="35" t="n">
        <v>-315.8</v>
      </c>
      <c r="F7" s="35" t="n">
        <v>-326</v>
      </c>
      <c r="G7" s="42" t="n"/>
      <c r="H7" s="42" t="n"/>
      <c r="I7" s="42" t="n"/>
    </row>
    <row r="8" ht="19.5" customHeight="1">
      <c r="B8" s="34" t="inlineStr">
        <is>
          <t>Change in NWC</t>
        </is>
      </c>
      <c r="D8" s="36" t="n">
        <v>0</v>
      </c>
      <c r="E8" s="36" t="n">
        <v>16.8</v>
      </c>
      <c r="F8" s="36" t="n">
        <v>-53.2</v>
      </c>
      <c r="G8" s="42" t="n"/>
      <c r="H8" s="42" t="n"/>
      <c r="I8" s="42" t="n"/>
    </row>
    <row r="9" ht="33" customHeight="1">
      <c r="B9" s="45" t="inlineStr">
        <is>
          <t>Cash Flow Before Financing</t>
        </is>
      </c>
      <c r="D9" s="35" t="n">
        <v>22.9</v>
      </c>
      <c r="E9" s="35" t="n">
        <v>541.1</v>
      </c>
      <c r="F9" s="35" t="n">
        <v>665.5</v>
      </c>
      <c r="G9" s="42" t="n"/>
      <c r="H9" s="42" t="n"/>
      <c r="I9" s="42" t="n"/>
    </row>
    <row r="10" ht="19.5" customHeight="1">
      <c r="B10" s="34" t="inlineStr">
        <is>
          <t>Change in Debt</t>
        </is>
      </c>
      <c r="D10" s="36" t="n">
        <v>0</v>
      </c>
      <c r="E10" s="36" t="n">
        <v>0</v>
      </c>
      <c r="F10" s="36" t="n">
        <v>0</v>
      </c>
      <c r="G10" s="42" t="n"/>
      <c r="H10" s="42" t="n"/>
      <c r="I10" s="42" t="n"/>
    </row>
    <row r="11" ht="19.5" customHeight="1">
      <c r="B11" s="34" t="inlineStr">
        <is>
          <t>Change in Cash</t>
        </is>
      </c>
      <c r="D11" s="35" t="n">
        <v>22.9</v>
      </c>
      <c r="E11" s="35" t="n">
        <v>541.1</v>
      </c>
      <c r="F11" s="35" t="n">
        <v>665.5</v>
      </c>
      <c r="G11" s="42" t="n"/>
      <c r="H11" s="42" t="n"/>
      <c r="I11" s="42" t="n"/>
    </row>
    <row r="12" ht="19.5" customHeight="1">
      <c r="B12" s="34" t="inlineStr">
        <is>
          <t>Beginning Cash</t>
        </is>
      </c>
      <c r="D12" s="36" t="n">
        <v>453.3</v>
      </c>
      <c r="E12" s="36" t="n">
        <v>138.4</v>
      </c>
      <c r="F12" s="36" t="n">
        <v>188.1</v>
      </c>
      <c r="G12" s="42" t="n"/>
      <c r="H12" s="42" t="n"/>
      <c r="I12" s="42" t="n"/>
    </row>
    <row r="13" ht="19.5" customHeight="1">
      <c r="B13" s="34" t="inlineStr">
        <is>
          <t>Ending Cash</t>
        </is>
      </c>
      <c r="D13" s="35" t="n">
        <v>476.2</v>
      </c>
      <c r="E13" s="35" t="n">
        <v>679.5</v>
      </c>
      <c r="F13" s="35" t="n">
        <v>853.6</v>
      </c>
      <c r="G13" s="42" t="n"/>
      <c r="H13" s="42" t="n"/>
      <c r="I13" s="42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Balance Sheet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Cash</t>
        </is>
      </c>
      <c r="D5" s="35" t="n">
        <v>476.2</v>
      </c>
      <c r="E5" s="35" t="n">
        <v>679.5</v>
      </c>
      <c r="F5" s="35" t="n">
        <v>853.6</v>
      </c>
      <c r="G5" s="42" t="n"/>
      <c r="H5" s="42" t="n"/>
      <c r="I5" s="42" t="n"/>
    </row>
    <row r="6" ht="19.5" customHeight="1">
      <c r="B6" s="34" t="inlineStr">
        <is>
          <t>Net Working Capital</t>
        </is>
      </c>
      <c r="D6" s="36" t="n">
        <v>405.4</v>
      </c>
      <c r="E6" s="36" t="n">
        <v>388.6</v>
      </c>
      <c r="F6" s="36" t="n">
        <v>441.8</v>
      </c>
      <c r="G6" s="42" t="n"/>
      <c r="H6" s="42" t="n"/>
      <c r="I6" s="42" t="n"/>
    </row>
    <row r="7" ht="19.5" customHeight="1">
      <c r="B7" s="34" t="inlineStr">
        <is>
          <t>Net Operating Assets</t>
        </is>
      </c>
      <c r="D7" s="35" t="n">
        <v>10223.5</v>
      </c>
      <c r="E7" s="35" t="n">
        <v>9916.700000000001</v>
      </c>
      <c r="F7" s="35" t="n">
        <v>9817.5</v>
      </c>
      <c r="G7" s="42" t="n"/>
      <c r="H7" s="42" t="n"/>
      <c r="I7" s="42" t="n"/>
    </row>
    <row r="8" ht="19.5" customHeight="1">
      <c r="B8" s="34" t="inlineStr">
        <is>
          <t>Total Assets</t>
        </is>
      </c>
      <c r="D8" s="36" t="n">
        <v>11105.1</v>
      </c>
      <c r="E8" s="36" t="n">
        <v>10984.8</v>
      </c>
      <c r="F8" s="36" t="n">
        <v>11112.9</v>
      </c>
      <c r="G8" s="42" t="n"/>
      <c r="H8" s="42" t="n"/>
      <c r="I8" s="42" t="n"/>
    </row>
    <row r="9">
      <c r="B9" s="34" t="inlineStr"/>
      <c r="D9" s="35" t="n"/>
      <c r="E9" s="35" t="n"/>
      <c r="F9" s="35" t="n"/>
      <c r="G9" s="43" t="n"/>
      <c r="H9" s="43" t="n"/>
      <c r="I9" s="43" t="n"/>
    </row>
    <row r="10" ht="19.5" customHeight="1">
      <c r="B10" s="34" t="inlineStr">
        <is>
          <t>Debt</t>
        </is>
      </c>
      <c r="D10" s="36" t="n">
        <v>5250.8</v>
      </c>
      <c r="E10" s="36" t="n">
        <v>5076.6</v>
      </c>
      <c r="F10" s="36" t="n">
        <v>5103.8</v>
      </c>
      <c r="G10" s="42" t="n"/>
      <c r="H10" s="42" t="n"/>
      <c r="I10" s="42" t="n"/>
    </row>
    <row r="11" ht="19.5" customHeight="1">
      <c r="B11" s="34" t="inlineStr">
        <is>
          <t>Other Liabilities</t>
        </is>
      </c>
      <c r="D11" s="35" t="n">
        <v>1748.8</v>
      </c>
      <c r="E11" s="35" t="n">
        <v>1589.4</v>
      </c>
      <c r="F11" s="35" t="n">
        <v>1463.8</v>
      </c>
      <c r="G11" s="42" t="n"/>
      <c r="H11" s="42" t="n"/>
      <c r="I11" s="42" t="n"/>
    </row>
    <row r="12" ht="19.5" customHeight="1">
      <c r="B12" s="34" t="inlineStr">
        <is>
          <t>Equity</t>
        </is>
      </c>
      <c r="D12" s="36" t="n">
        <v>4008.2</v>
      </c>
      <c r="E12" s="36" t="n">
        <v>4217</v>
      </c>
      <c r="F12" s="36" t="n">
        <v>4439.2</v>
      </c>
      <c r="G12" s="42" t="n"/>
      <c r="H12" s="42" t="n"/>
      <c r="I12" s="42" t="n"/>
    </row>
    <row r="13" ht="33" customHeight="1">
      <c r="B13" s="45" t="inlineStr">
        <is>
          <t>Total Liabilities &amp; Equity</t>
        </is>
      </c>
      <c r="D13" s="35" t="n">
        <v>11007.8</v>
      </c>
      <c r="E13" s="35" t="n">
        <v>10883</v>
      </c>
      <c r="F13" s="35" t="n">
        <v>11006.8</v>
      </c>
      <c r="G13" s="42" t="n"/>
      <c r="H13" s="42" t="n"/>
      <c r="I13" s="42" t="n"/>
    </row>
    <row r="14" ht="19.5" customHeight="1">
      <c r="B14" s="34" t="inlineStr">
        <is>
          <t>Balance Check</t>
        </is>
      </c>
      <c r="D14" s="36" t="n">
        <v>0</v>
      </c>
      <c r="E14" s="36" t="n">
        <v>0</v>
      </c>
      <c r="F14" s="36" t="n">
        <v>0</v>
      </c>
      <c r="G14" s="42" t="n"/>
      <c r="H14" s="42" t="n"/>
      <c r="I14" s="42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Analyst Summary | Full Track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4" t="inlineStr">
        <is>
          <t>2026 Revenue</t>
        </is>
      </c>
      <c r="C4" s="42" t="n"/>
    </row>
    <row r="5" ht="19.5" customHeight="1">
      <c r="B5" s="34" t="inlineStr">
        <is>
          <t>2026 EBITDA</t>
        </is>
      </c>
      <c r="C5" s="42" t="n"/>
    </row>
    <row r="6" ht="19.5" customHeight="1">
      <c r="B6" s="34" t="inlineStr">
        <is>
          <t>2026 Ending Cash</t>
        </is>
      </c>
      <c r="C6" s="42" t="n"/>
    </row>
    <row r="7" ht="19.5" customHeight="1">
      <c r="B7" s="34" t="inlineStr">
        <is>
          <t>2028 Ending Cash</t>
        </is>
      </c>
      <c r="C7" s="42" t="n"/>
    </row>
    <row r="8" ht="19.5" customHeight="1">
      <c r="B8" s="34" t="inlineStr">
        <is>
          <t>2028 Balance Check</t>
        </is>
      </c>
      <c r="C8" s="42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Checks &amp; Audit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8" t="inlineStr">
        <is>
          <t>Check</t>
        </is>
      </c>
      <c r="C4" s="38" t="inlineStr">
        <is>
          <t>Status</t>
        </is>
      </c>
    </row>
    <row r="5" ht="33" customHeight="1">
      <c r="B5" s="18" t="inlineStr">
        <is>
          <t>Forecast ending cash rolls from the cash flow statement into the balance sheet</t>
        </is>
      </c>
      <c r="C5" s="39">
        <f>IF(ABS(BS!I5-CF!I13)&lt;0.1,"OK","CHECK")</f>
        <v/>
      </c>
    </row>
    <row r="6" ht="19.5" customHeight="1">
      <c r="B6" s="31" t="inlineStr">
        <is>
          <t>Full-track balance check is at or near zero in 2028</t>
        </is>
      </c>
      <c r="C6" s="40">
        <f>IF(ABS(BS!I14)&lt;0.1,"OK","CHECK")</f>
        <v/>
      </c>
    </row>
    <row r="7" ht="19.5" customHeight="1">
      <c r="B7" s="32" t="inlineStr">
        <is>
          <t>Net income line is populated for forecast years</t>
        </is>
      </c>
      <c r="C7" s="39">
        <f>IF(COUNT(IS!G12:I12)=3,"OK","CHECK")</f>
        <v/>
      </c>
    </row>
    <row r="8" ht="19.5" customHeight="1">
      <c r="B8" s="31" t="inlineStr">
        <is>
          <t>Ending cash remains positive through the forecast</t>
        </is>
      </c>
      <c r="C8" s="40">
        <f>IF(MIN(BS!G5:I5)&gt;0,"OK","CHECK")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33" t="inlineStr">
        <is>
          <t>Source Notes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0" t="inlineStr">
        <is>
          <t>Category</t>
        </is>
      </c>
      <c r="C4" s="30" t="inlineStr">
        <is>
          <t>Entity</t>
        </is>
      </c>
      <c r="D4" s="30" t="inlineStr">
        <is>
          <t>Document</t>
        </is>
      </c>
      <c r="E4" s="30" t="inlineStr">
        <is>
          <t>As of</t>
        </is>
      </c>
      <c r="F4" s="30" t="inlineStr">
        <is>
          <t>URL</t>
        </is>
      </c>
      <c r="G4" s="30" t="inlineStr">
        <is>
          <t>Local File</t>
        </is>
      </c>
      <c r="H4" s="30" t="inlineStr">
        <is>
          <t>Notes</t>
        </is>
      </c>
    </row>
    <row r="5" ht="33" customHeight="1">
      <c r="B5" s="32" t="inlineStr">
        <is>
          <t>DCF</t>
        </is>
      </c>
      <c r="C5" s="32" t="inlineStr">
        <is>
          <t>TransUnion</t>
        </is>
      </c>
      <c r="D5" s="32" t="inlineStr">
        <is>
          <t>2025 10-K</t>
        </is>
      </c>
      <c r="E5" s="18" t="inlineStr">
        <is>
          <t>2025-12-31</t>
        </is>
      </c>
      <c r="F5" s="18" t="inlineStr">
        <is>
          <t>https://www.sec.gov/Archives/edgar/data/1552033/000155203326000012/tru-20251231.htm</t>
        </is>
      </c>
      <c r="G5" s="18" t="inlineStr">
        <is>
          <t>data/raw/reference_html/tru_2025_10k.html</t>
        </is>
      </c>
      <c r="H5" s="18" t="inlineStr">
        <is>
          <t>Historical actuals and balance-sheet data.</t>
        </is>
      </c>
    </row>
    <row r="6" ht="33" customHeight="1">
      <c r="B6" s="31" t="inlineStr">
        <is>
          <t>DCF</t>
        </is>
      </c>
      <c r="C6" s="31" t="inlineStr">
        <is>
          <t>TransUnion</t>
        </is>
      </c>
      <c r="D6" s="31" t="inlineStr">
        <is>
          <t>2026 Earnings Release</t>
        </is>
      </c>
      <c r="E6" s="19" t="inlineStr">
        <is>
          <t>2026-02-12</t>
        </is>
      </c>
      <c r="F6" s="19" t="inlineStr">
        <is>
          <t>https://www.sec.gov/Archives/edgar/data/1552033/000155203326000006/exhibit99112312025.htm</t>
        </is>
      </c>
      <c r="G6" s="19" t="inlineStr">
        <is>
          <t>data/raw/reference_html/tru_2026_guidance.html</t>
        </is>
      </c>
      <c r="H6" s="19" t="inlineStr">
        <is>
          <t>Management 2026 revenue and adjusted EBITDA guidance.</t>
        </is>
      </c>
    </row>
    <row r="7" ht="33" customHeight="1">
      <c r="B7" s="32" t="inlineStr">
        <is>
          <t>Valuation</t>
        </is>
      </c>
      <c r="C7" s="32" t="inlineStr">
        <is>
          <t>Damodaran</t>
        </is>
      </c>
      <c r="D7" s="32" t="inlineStr">
        <is>
          <t>Implied ERP Update</t>
        </is>
      </c>
      <c r="E7" s="18" t="inlineStr">
        <is>
          <t>2026-04-01</t>
        </is>
      </c>
      <c r="F7" s="18" t="inlineStr">
        <is>
          <t>https://pages.stern.nyu.edu/~adamodar/New_Home_Page/home.htm</t>
        </is>
      </c>
      <c r="G7" s="18" t="inlineStr">
        <is>
          <t>data/raw/reference_html/damodaran_home_apr_2026.html</t>
        </is>
      </c>
      <c r="H7" s="18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2026-04-23T18:35:08+00:00Z</dcterms:modified>
  <cp:lastModifiedBy>Jordan Mahmood</cp:lastModifiedBy>
</cp:coreProperties>
</file>