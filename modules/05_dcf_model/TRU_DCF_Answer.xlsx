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Sensitivities" sheetId="6" state="visible" r:id="rId6"/>
    <sheet xmlns:r="http://schemas.openxmlformats.org/officeDocument/2006/relationships" name="Output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_Notes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color rgb="000000FF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1E3A5F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&amp; Forecast Revenue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'Model'!$D$4:$K$4</f>
            </numRef>
          </cat>
          <val>
            <numRef>
              <f>'Model'!$D$5:$K$5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TransUnion DCF Model</t>
        </is>
      </c>
      <c r="C2" s="29" t="n"/>
      <c r="D2" s="29" t="n"/>
      <c r="E2" s="29" t="n"/>
      <c r="F2" s="29" t="n"/>
      <c r="G2" s="29" t="n"/>
      <c r="H2" s="30" t="n"/>
    </row>
    <row r="3" ht="20" customHeight="1">
      <c r="B3" s="31" t="n"/>
      <c r="H3" s="32" t="n"/>
    </row>
    <row r="4" ht="20" customHeight="1">
      <c r="B4" s="33" t="n"/>
      <c r="C4" s="34" t="n"/>
      <c r="D4" s="34" t="n"/>
      <c r="E4" s="34" t="n"/>
      <c r="F4" s="34" t="n"/>
      <c r="G4" s="34" t="n"/>
      <c r="H4" s="35" t="n"/>
    </row>
    <row r="5" ht="24" customHeight="1">
      <c r="B5" s="36" t="inlineStr">
        <is>
          <t>Functional DCF built from FY2023-FY2025 actuals, 2026 management guidance, and explicitly labeled analyst assumptions.</t>
        </is>
      </c>
    </row>
    <row r="6" ht="20" customHeight="1"/>
    <row r="7" ht="24" customHeight="1">
      <c r="B7" s="6" t="inlineStr">
        <is>
          <t>• Historicals are sourced from SEC filings; management's 2026 guide anchors the first forecast year.</t>
        </is>
      </c>
    </row>
    <row r="8" ht="24" customHeight="1">
      <c r="B8" s="6" t="inlineStr">
        <is>
          <t>• WACC is built from Damodaran's April 1, 2026 U.S. ERP update, market-derived beta, and TRU cost of debt.</t>
        </is>
      </c>
    </row>
    <row r="9" ht="24" customHeight="1">
      <c r="B9" s="6" t="inlineStr">
        <is>
          <t>• Sensitivities show implied per-share value across WACC and terminal growth combinations.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Model Flow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5" t="n">
        <v>1</v>
      </c>
      <c r="C4" s="6" t="inlineStr">
        <is>
          <t>Use Assumptions to inspect market inputs, capital costs, and forecast drivers.</t>
        </is>
      </c>
    </row>
    <row r="5"/>
    <row r="6" ht="19.5" customHeight="1">
      <c r="B6" s="5" t="n">
        <v>2</v>
      </c>
      <c r="C6" s="6" t="inlineStr">
        <is>
          <t>Model contains historical actuals and formula-linked forecast lines.</t>
        </is>
      </c>
    </row>
    <row r="7"/>
    <row r="8" ht="19.5" customHeight="1">
      <c r="B8" s="5" t="n">
        <v>3</v>
      </c>
      <c r="C8" s="6" t="inlineStr">
        <is>
          <t>Valuation and Sensitivities are print-ready summary tabs for interview or portfolio use.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Valuation Inputs</t>
        </is>
      </c>
      <c r="C2" s="37" t="n"/>
      <c r="D2" s="37" t="n"/>
      <c r="E2" s="37" t="n"/>
      <c r="F2" s="37" t="n"/>
      <c r="G2" s="37" t="n"/>
      <c r="H2" s="37" t="n"/>
      <c r="I2" s="38" t="n"/>
    </row>
    <row r="3"/>
    <row r="4" ht="19.5" customHeight="1">
      <c r="B4" s="7" t="inlineStr">
        <is>
          <t>Valuation Date</t>
        </is>
      </c>
      <c r="C4" s="8" t="inlineStr">
        <is>
          <t>2026-04-01</t>
        </is>
      </c>
    </row>
    <row r="5" ht="19.5" customHeight="1">
      <c r="B5" s="7" t="inlineStr">
        <is>
          <t>Share Price</t>
        </is>
      </c>
      <c r="C5" s="9" t="n">
        <v>68.79000091552734</v>
      </c>
    </row>
    <row r="6" ht="19.5" customHeight="1">
      <c r="B6" s="39" t="inlineStr">
        <is>
          <t>Shares Outstanding (mm)</t>
        </is>
      </c>
      <c r="C6" s="10" t="n">
        <v>192.6</v>
      </c>
    </row>
    <row r="7" ht="19.5" customHeight="1">
      <c r="B7" s="7" t="inlineStr">
        <is>
          <t>Cash ($mm)</t>
        </is>
      </c>
      <c r="C7" s="10" t="n">
        <v>853.6</v>
      </c>
    </row>
    <row r="8" ht="19.5" customHeight="1">
      <c r="B8" s="7" t="inlineStr">
        <is>
          <t>Debt ($mm)</t>
        </is>
      </c>
      <c r="C8" s="10" t="n">
        <v>5035.9</v>
      </c>
    </row>
    <row r="9" ht="19.5" customHeight="1">
      <c r="B9" s="7" t="inlineStr">
        <is>
          <t>Risk-Free Rate</t>
        </is>
      </c>
      <c r="C9" s="11" t="n">
        <v>0.0432</v>
      </c>
    </row>
    <row r="10" ht="19.5" customHeight="1">
      <c r="B10" s="7" t="inlineStr">
        <is>
          <t>Levered Beta</t>
        </is>
      </c>
      <c r="C10" s="12" t="n">
        <v>1.56</v>
      </c>
    </row>
    <row r="11" ht="19.5" customHeight="1">
      <c r="B11" s="7" t="inlineStr">
        <is>
          <t>Equity Risk Premium</t>
        </is>
      </c>
      <c r="C11" s="11" t="n">
        <v>0.0467</v>
      </c>
    </row>
    <row r="12" ht="19.5" customHeight="1">
      <c r="B12" s="7" t="inlineStr">
        <is>
          <t>Cost of Equity</t>
        </is>
      </c>
      <c r="C12" s="11" t="n">
        <v>0.116052</v>
      </c>
    </row>
    <row r="13" ht="19.5" customHeight="1">
      <c r="B13" s="7" t="inlineStr">
        <is>
          <t>Pre-tax Cost of Debt</t>
        </is>
      </c>
      <c r="C13" s="11" t="n">
        <v>0.0463243094573887</v>
      </c>
    </row>
    <row r="14" ht="19.5" customHeight="1">
      <c r="B14" s="7" t="inlineStr">
        <is>
          <t>Tax Rate</t>
        </is>
      </c>
      <c r="C14" s="11" t="n">
        <v>0.25</v>
      </c>
    </row>
    <row r="15" ht="19.5" customHeight="1">
      <c r="B15" s="7" t="inlineStr">
        <is>
          <t>WACC</t>
        </is>
      </c>
      <c r="C15" s="11" t="n">
        <v>0.09365844846527162</v>
      </c>
    </row>
    <row r="16" ht="19.5" customHeight="1">
      <c r="B16" s="7" t="inlineStr">
        <is>
          <t>Terminal Growth</t>
        </is>
      </c>
      <c r="C16" s="11" t="n">
        <v>0.025</v>
      </c>
    </row>
    <row r="17"/>
    <row r="18"/>
    <row r="19"/>
    <row r="20">
      <c r="E20" s="13" t="n">
        <v>2026</v>
      </c>
      <c r="F20" s="13" t="n">
        <v>2027</v>
      </c>
      <c r="G20" s="13" t="n">
        <v>2028</v>
      </c>
      <c r="H20" s="13" t="n">
        <v>2029</v>
      </c>
      <c r="I20" s="13" t="n">
        <v>2030</v>
      </c>
    </row>
    <row r="21" ht="19.5" customHeight="1">
      <c r="B21" s="7" t="inlineStr">
        <is>
          <t>Revenue Growth</t>
        </is>
      </c>
      <c r="E21" s="14" t="n">
        <v>0.08500000000000001</v>
      </c>
      <c r="F21" s="14" t="n">
        <v>0.07000000000000001</v>
      </c>
      <c r="G21" s="14" t="n">
        <v>0.06</v>
      </c>
      <c r="H21" s="14" t="n">
        <v>0.05</v>
      </c>
      <c r="I21" s="14" t="n">
        <v>0.04</v>
      </c>
    </row>
    <row r="22" ht="19.5" customHeight="1">
      <c r="B22" s="7" t="inlineStr">
        <is>
          <t>EBITDA Margin</t>
        </is>
      </c>
      <c r="E22" s="14" t="n">
        <v>0.315</v>
      </c>
      <c r="F22" s="14" t="n">
        <v>0.318</v>
      </c>
      <c r="G22" s="14" t="n">
        <v>0.32</v>
      </c>
      <c r="H22" s="14" t="n">
        <v>0.323</v>
      </c>
      <c r="I22" s="14" t="n">
        <v>0.325</v>
      </c>
    </row>
    <row r="23" ht="19.5" customHeight="1">
      <c r="B23" s="7" t="inlineStr">
        <is>
          <t>D&amp;A Margin</t>
        </is>
      </c>
      <c r="E23" s="14" t="n">
        <v>0.12</v>
      </c>
      <c r="F23" s="14" t="n">
        <v>0.117</v>
      </c>
      <c r="G23" s="14" t="n">
        <v>0.114</v>
      </c>
      <c r="H23" s="14" t="n">
        <v>0.111</v>
      </c>
      <c r="I23" s="14" t="n">
        <v>0.108</v>
      </c>
    </row>
    <row r="24" ht="19.5" customHeight="1">
      <c r="B24" s="7" t="inlineStr">
        <is>
          <t>Capex Margin</t>
        </is>
      </c>
      <c r="E24" s="14" t="n">
        <v>0.07000000000000001</v>
      </c>
      <c r="F24" s="14" t="n">
        <v>0.067</v>
      </c>
      <c r="G24" s="14" t="n">
        <v>0.065</v>
      </c>
      <c r="H24" s="14" t="n">
        <v>0.063</v>
      </c>
      <c r="I24" s="14" t="n">
        <v>0.06</v>
      </c>
    </row>
    <row r="25" ht="19.5" customHeight="1">
      <c r="B25" s="7" t="inlineStr">
        <is>
          <t>NWC Margin</t>
        </is>
      </c>
      <c r="E25" s="14" t="n">
        <v>0.094</v>
      </c>
      <c r="F25" s="14" t="n">
        <v>0.093</v>
      </c>
      <c r="G25" s="14" t="n">
        <v>0.092</v>
      </c>
      <c r="H25" s="14" t="n">
        <v>0.091</v>
      </c>
      <c r="I25" s="14" t="n">
        <v>0.09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 ht="25" customHeight="1">
      <c r="B2" s="4" t="inlineStr">
        <is>
          <t>Historical &amp; Forecast Cash Flow Build ($mm)</t>
        </is>
      </c>
      <c r="C2" s="37" t="n"/>
      <c r="D2" s="37" t="n"/>
      <c r="E2" s="37" t="n"/>
      <c r="F2" s="37" t="n"/>
      <c r="G2" s="37" t="n"/>
      <c r="H2" s="37" t="n"/>
      <c r="I2" s="37" t="n"/>
      <c r="J2" s="37" t="n"/>
      <c r="K2" s="38" t="n"/>
    </row>
    <row r="3"/>
    <row r="4">
      <c r="D4" s="13" t="n">
        <v>2023</v>
      </c>
      <c r="E4" s="13" t="n">
        <v>2024</v>
      </c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 ht="19.5" customHeight="1">
      <c r="B5" s="7" t="inlineStr">
        <is>
          <t>Revenue</t>
        </is>
      </c>
      <c r="D5" s="15" t="n">
        <v>3831.2</v>
      </c>
      <c r="E5" s="15" t="n">
        <v>4183.8</v>
      </c>
      <c r="F5" s="15" t="n">
        <v>4576.3</v>
      </c>
      <c r="G5" s="15">
        <f>F5*(1+Assumptions!E21)</f>
        <v/>
      </c>
      <c r="H5" s="15">
        <f>G5*(1+Assumptions!F21)</f>
        <v/>
      </c>
      <c r="I5" s="15">
        <f>H5*(1+Assumptions!G21)</f>
        <v/>
      </c>
      <c r="J5" s="15">
        <f>I5*(1+Assumptions!H21)</f>
        <v/>
      </c>
      <c r="K5" s="15">
        <f>J5*(1+Assumptions!I21)</f>
        <v/>
      </c>
    </row>
    <row r="6" ht="19.5" customHeight="1">
      <c r="B6" s="7" t="inlineStr">
        <is>
          <t>EBITDA</t>
        </is>
      </c>
      <c r="D6" s="16" t="n">
        <v>652.9</v>
      </c>
      <c r="E6" s="16" t="n">
        <v>1204.5</v>
      </c>
      <c r="F6" s="16" t="n">
        <v>1432.6</v>
      </c>
      <c r="G6" s="16">
        <f>G5*Assumptions!E22</f>
        <v/>
      </c>
      <c r="H6" s="16">
        <f>H5*Assumptions!F22</f>
        <v/>
      </c>
      <c r="I6" s="16">
        <f>I5*Assumptions!G22</f>
        <v/>
      </c>
      <c r="J6" s="16">
        <f>J5*Assumptions!H22</f>
        <v/>
      </c>
      <c r="K6" s="16">
        <f>K5*Assumptions!I22</f>
        <v/>
      </c>
    </row>
    <row r="7" ht="19.5" customHeight="1">
      <c r="B7" s="7" t="inlineStr">
        <is>
          <t>D&amp;A</t>
        </is>
      </c>
      <c r="D7" s="15" t="n">
        <v>524.4</v>
      </c>
      <c r="E7" s="15" t="n">
        <v>537.8</v>
      </c>
      <c r="F7" s="15" t="n">
        <v>574.8</v>
      </c>
      <c r="G7" s="15">
        <f>G5*Assumptions!E23</f>
        <v/>
      </c>
      <c r="H7" s="15">
        <f>H5*Assumptions!F23</f>
        <v/>
      </c>
      <c r="I7" s="15">
        <f>I5*Assumptions!G23</f>
        <v/>
      </c>
      <c r="J7" s="15">
        <f>J5*Assumptions!H23</f>
        <v/>
      </c>
      <c r="K7" s="15">
        <f>K5*Assumptions!I23</f>
        <v/>
      </c>
    </row>
    <row r="8" ht="19.5" customHeight="1">
      <c r="B8" s="7" t="inlineStr">
        <is>
          <t>EBIT</t>
        </is>
      </c>
      <c r="D8" s="16" t="n">
        <v>128.5</v>
      </c>
      <c r="E8" s="16" t="n">
        <v>666.7</v>
      </c>
      <c r="F8" s="16" t="n">
        <v>857.8</v>
      </c>
      <c r="G8" s="16">
        <f>G6-G7</f>
        <v/>
      </c>
      <c r="H8" s="16">
        <f>H6-H7</f>
        <v/>
      </c>
      <c r="I8" s="16">
        <f>I6-I7</f>
        <v/>
      </c>
      <c r="J8" s="16">
        <f>J6-J7</f>
        <v/>
      </c>
      <c r="K8" s="16">
        <f>K6-K7</f>
        <v/>
      </c>
    </row>
    <row r="9" ht="19.5" customHeight="1">
      <c r="B9" s="7" t="inlineStr">
        <is>
          <t>Taxes</t>
        </is>
      </c>
      <c r="D9" s="15" t="n">
        <v>32.125</v>
      </c>
      <c r="E9" s="15" t="n">
        <v>166.675</v>
      </c>
      <c r="F9" s="15" t="n">
        <v>214.45</v>
      </c>
      <c r="G9" s="15">
        <f>G8*Assumptions!C14</f>
        <v/>
      </c>
      <c r="H9" s="15">
        <f>H8*Assumptions!C14</f>
        <v/>
      </c>
      <c r="I9" s="15">
        <f>I8*Assumptions!C14</f>
        <v/>
      </c>
      <c r="J9" s="15">
        <f>J8*Assumptions!C14</f>
        <v/>
      </c>
      <c r="K9" s="15">
        <f>K8*Assumptions!C14</f>
        <v/>
      </c>
    </row>
    <row r="10" ht="19.5" customHeight="1">
      <c r="B10" s="7" t="inlineStr">
        <is>
          <t>Capex</t>
        </is>
      </c>
      <c r="D10" s="16" t="n">
        <v>310.7</v>
      </c>
      <c r="E10" s="16" t="n">
        <v>315.8</v>
      </c>
      <c r="F10" s="16" t="n">
        <v>326</v>
      </c>
      <c r="G10" s="16">
        <f>G5*Assumptions!E24</f>
        <v/>
      </c>
      <c r="H10" s="16">
        <f>H5*Assumptions!F24</f>
        <v/>
      </c>
      <c r="I10" s="16">
        <f>I5*Assumptions!G24</f>
        <v/>
      </c>
      <c r="J10" s="16">
        <f>J5*Assumptions!H24</f>
        <v/>
      </c>
      <c r="K10" s="16">
        <f>K5*Assumptions!I24</f>
        <v/>
      </c>
    </row>
    <row r="11" ht="19.5" customHeight="1">
      <c r="B11" s="7" t="inlineStr">
        <is>
          <t>NWC</t>
        </is>
      </c>
      <c r="D11" s="15" t="n">
        <v>405.4</v>
      </c>
      <c r="E11" s="15" t="n">
        <v>388.6</v>
      </c>
      <c r="F11" s="15" t="n">
        <v>441.8</v>
      </c>
      <c r="G11" s="15">
        <f>G5*Assumptions!E25</f>
        <v/>
      </c>
      <c r="H11" s="15">
        <f>H5*Assumptions!F25</f>
        <v/>
      </c>
      <c r="I11" s="15">
        <f>I5*Assumptions!G25</f>
        <v/>
      </c>
      <c r="J11" s="15">
        <f>J5*Assumptions!H25</f>
        <v/>
      </c>
      <c r="K11" s="15">
        <f>K5*Assumptions!I25</f>
        <v/>
      </c>
    </row>
    <row r="12" ht="19.5" customHeight="1">
      <c r="B12" s="7" t="inlineStr">
        <is>
          <t>Change in NWC</t>
        </is>
      </c>
      <c r="D12" s="16" t="n">
        <v>0</v>
      </c>
      <c r="E12" s="16" t="n">
        <v>-16.8</v>
      </c>
      <c r="F12" s="16" t="n">
        <v>53.2</v>
      </c>
      <c r="G12" s="16">
        <f>G11-F11</f>
        <v/>
      </c>
      <c r="H12" s="16">
        <f>H11-G11</f>
        <v/>
      </c>
      <c r="I12" s="16">
        <f>I11-H11</f>
        <v/>
      </c>
      <c r="J12" s="16">
        <f>J11-I11</f>
        <v/>
      </c>
      <c r="K12" s="16">
        <f>K11-J11</f>
        <v/>
      </c>
    </row>
    <row r="13" ht="19.5" customHeight="1">
      <c r="B13" s="7" t="inlineStr">
        <is>
          <t>UFCF</t>
        </is>
      </c>
      <c r="D13" s="15" t="n">
        <v>310.075</v>
      </c>
      <c r="E13" s="15" t="n">
        <v>738.825</v>
      </c>
      <c r="F13" s="15" t="n">
        <v>838.95</v>
      </c>
      <c r="G13" s="15">
        <f>G8-G9+G7-G10-G12</f>
        <v/>
      </c>
      <c r="H13" s="15">
        <f>H8-H9+H7-H10-H12</f>
        <v/>
      </c>
      <c r="I13" s="15">
        <f>I8-I9+I7-I10-I12</f>
        <v/>
      </c>
      <c r="J13" s="15">
        <f>J8-J9+J7-J10-J12</f>
        <v/>
      </c>
      <c r="K13" s="15">
        <f>K8-K9+K7-K10-K12</f>
        <v/>
      </c>
    </row>
  </sheetData>
  <mergeCells count="1">
    <mergeCell ref="B2:K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DCF Valuation</t>
        </is>
      </c>
      <c r="C2" s="37" t="n"/>
      <c r="D2" s="37" t="n"/>
      <c r="E2" s="37" t="n"/>
      <c r="F2" s="37" t="n"/>
      <c r="G2" s="37" t="n"/>
      <c r="H2" s="38" t="n"/>
    </row>
    <row r="3"/>
    <row r="4">
      <c r="D4" s="13" t="n">
        <v>2026</v>
      </c>
      <c r="E4" s="13" t="n">
        <v>2027</v>
      </c>
      <c r="F4" s="13" t="n">
        <v>2028</v>
      </c>
      <c r="G4" s="13" t="n">
        <v>2029</v>
      </c>
      <c r="H4" s="13" t="n">
        <v>2030</v>
      </c>
    </row>
    <row r="5" ht="19.5" customHeight="1">
      <c r="B5" s="7" t="inlineStr">
        <is>
          <t>UFCF</t>
        </is>
      </c>
      <c r="D5" s="15">
        <f>Model!G13</f>
        <v/>
      </c>
      <c r="E5" s="15">
        <f>Model!H13</f>
        <v/>
      </c>
      <c r="F5" s="15">
        <f>Model!I13</f>
        <v/>
      </c>
      <c r="G5" s="15">
        <f>Model!J13</f>
        <v/>
      </c>
      <c r="H5" s="15">
        <f>Model!K13</f>
        <v/>
      </c>
    </row>
    <row r="6" ht="19.5" customHeight="1">
      <c r="B6" s="7" t="inlineStr">
        <is>
          <t>Discount Factor</t>
        </is>
      </c>
      <c r="D6" s="16">
        <f>1/((1+Assumptions!C15)^1)</f>
        <v/>
      </c>
      <c r="E6" s="16">
        <f>1/((1+Assumptions!C15)^2)</f>
        <v/>
      </c>
      <c r="F6" s="16">
        <f>1/((1+Assumptions!C15)^3)</f>
        <v/>
      </c>
      <c r="G6" s="16">
        <f>1/((1+Assumptions!C15)^4)</f>
        <v/>
      </c>
      <c r="H6" s="16">
        <f>1/((1+Assumptions!C15)^5)</f>
        <v/>
      </c>
    </row>
    <row r="7" ht="19.5" customHeight="1">
      <c r="B7" s="7" t="inlineStr">
        <is>
          <t>PV of UFCF</t>
        </is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8"/>
    <row r="9"/>
    <row r="10" ht="19.5" customHeight="1">
      <c r="B10" s="7" t="inlineStr">
        <is>
          <t>Terminal Value</t>
        </is>
      </c>
      <c r="C10" s="17">
        <f>H5*(1+Assumptions!C16)/(Assumptions!C15-Assumptions!C16)</f>
        <v/>
      </c>
    </row>
    <row r="11" ht="19.5" customHeight="1">
      <c r="B11" s="7" t="inlineStr">
        <is>
          <t>PV of Terminal Value</t>
        </is>
      </c>
      <c r="C11" s="17">
        <f>C10*H6</f>
        <v/>
      </c>
    </row>
    <row r="12" ht="19.5" customHeight="1">
      <c r="B12" s="7" t="inlineStr">
        <is>
          <t>Enterprise Value</t>
        </is>
      </c>
      <c r="C12" s="17">
        <f>SUM(C7:G7)+C11</f>
        <v/>
      </c>
    </row>
    <row r="13" ht="19.5" customHeight="1">
      <c r="B13" s="7" t="inlineStr">
        <is>
          <t>Less: Debt</t>
        </is>
      </c>
      <c r="C13" s="17">
        <f>Assumptions!C8</f>
        <v/>
      </c>
    </row>
    <row r="14" ht="19.5" customHeight="1">
      <c r="B14" s="7" t="inlineStr">
        <is>
          <t>Add: Cash</t>
        </is>
      </c>
      <c r="C14" s="17">
        <f>Assumptions!C7</f>
        <v/>
      </c>
    </row>
    <row r="15" ht="19.5" customHeight="1">
      <c r="B15" s="7" t="inlineStr">
        <is>
          <t>Equity Value</t>
        </is>
      </c>
      <c r="C15" s="17">
        <f>C12-C13+C14</f>
        <v/>
      </c>
    </row>
    <row r="16" ht="19.5" customHeight="1">
      <c r="B16" s="7" t="inlineStr">
        <is>
          <t>Implied Share Price</t>
        </is>
      </c>
      <c r="C16" s="18">
        <f>C15/Assumptions!C6</f>
        <v/>
      </c>
    </row>
    <row r="17" ht="33" customHeight="1">
      <c r="B17" s="39" t="inlineStr">
        <is>
          <t>Premium / (Discount) to Current Price</t>
        </is>
      </c>
      <c r="C17" s="19">
        <f>C16/Assumptions!C5-1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Share Price Sensitivity</t>
        </is>
      </c>
      <c r="C2" s="37" t="n"/>
      <c r="D2" s="37" t="n"/>
      <c r="E2" s="37" t="n"/>
      <c r="F2" s="37" t="n"/>
      <c r="G2" s="37" t="n"/>
      <c r="H2" s="38" t="n"/>
    </row>
    <row r="3"/>
    <row r="4">
      <c r="D4" s="20" t="n">
        <v>0.0837</v>
      </c>
      <c r="E4" s="20" t="n">
        <v>0.0887</v>
      </c>
      <c r="F4" s="20" t="n">
        <v>0.09370000000000001</v>
      </c>
      <c r="G4" s="20" t="n">
        <v>0.0987</v>
      </c>
      <c r="H4" s="20" t="n">
        <v>0.1037</v>
      </c>
    </row>
    <row r="5">
      <c r="B5" s="20" t="n">
        <v>0.02</v>
      </c>
      <c r="D5" s="21" t="n">
        <v>72.22348801152944</v>
      </c>
      <c r="E5" s="21" t="n">
        <v>65.22632663527229</v>
      </c>
      <c r="F5" s="21" t="n">
        <v>59.18117155689913</v>
      </c>
      <c r="G5" s="21" t="n">
        <v>53.90651692897833</v>
      </c>
      <c r="H5" s="21" t="n">
        <v>49.26422896826146</v>
      </c>
    </row>
    <row r="6">
      <c r="B6" s="20" t="n">
        <v>0.0225</v>
      </c>
      <c r="D6" s="21" t="n">
        <v>75.31519334007648</v>
      </c>
      <c r="E6" s="21" t="n">
        <v>67.82814889076059</v>
      </c>
      <c r="F6" s="21" t="n">
        <v>61.39520875127228</v>
      </c>
      <c r="G6" s="21" t="n">
        <v>55.80881707243946</v>
      </c>
      <c r="H6" s="21" t="n">
        <v>50.91254159299593</v>
      </c>
    </row>
    <row r="7">
      <c r="B7" s="20" t="n">
        <v>0.025</v>
      </c>
      <c r="D7" s="21" t="n">
        <v>78.6702466523158</v>
      </c>
      <c r="E7" s="21" t="n">
        <v>70.63419581308474</v>
      </c>
      <c r="F7" s="21" t="n">
        <v>63.77038402383856</v>
      </c>
      <c r="G7" s="21" t="n">
        <v>57.84017421342171</v>
      </c>
      <c r="H7" s="21" t="n">
        <v>52.66557547724339</v>
      </c>
    </row>
    <row r="8">
      <c r="B8" s="20" t="n">
        <v>0.0275</v>
      </c>
      <c r="D8" s="21" t="n">
        <v>82.32379225212094</v>
      </c>
      <c r="E8" s="21" t="n">
        <v>73.66949493494518</v>
      </c>
      <c r="F8" s="21" t="n">
        <v>66.32495319916667</v>
      </c>
      <c r="G8" s="21" t="n">
        <v>60.0141828390235</v>
      </c>
      <c r="H8" s="21" t="n">
        <v>54.53363783158583</v>
      </c>
    </row>
    <row r="9">
      <c r="B9" s="20" t="n">
        <v>0.03</v>
      </c>
      <c r="D9" s="21" t="n">
        <v>86.31751900647028</v>
      </c>
      <c r="E9" s="21" t="n">
        <v>76.96333742323324</v>
      </c>
      <c r="F9" s="21" t="n">
        <v>69.08003800835095</v>
      </c>
      <c r="G9" s="21" t="n">
        <v>62.34641625542598</v>
      </c>
      <c r="H9" s="21" t="n">
        <v>56.52843440264077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DCF Output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7" t="inlineStr">
        <is>
          <t>Enterprise Value</t>
        </is>
      </c>
      <c r="C4" s="17">
        <f>Valuation!C12</f>
        <v/>
      </c>
    </row>
    <row r="5" ht="19.5" customHeight="1">
      <c r="B5" s="7" t="inlineStr">
        <is>
          <t>Equity Value</t>
        </is>
      </c>
      <c r="C5" s="17">
        <f>Valuation!C15</f>
        <v/>
      </c>
    </row>
    <row r="6" ht="19.5" customHeight="1">
      <c r="B6" s="7" t="inlineStr">
        <is>
          <t>Implied Share Price</t>
        </is>
      </c>
      <c r="C6" s="18">
        <f>Valuation!C16</f>
        <v/>
      </c>
    </row>
    <row r="7" ht="19.5" customHeight="1">
      <c r="B7" s="7" t="inlineStr">
        <is>
          <t>Current Share Price</t>
        </is>
      </c>
      <c r="C7" s="18">
        <f>Assumptions!C5</f>
        <v/>
      </c>
    </row>
    <row r="8" ht="19.5" customHeight="1">
      <c r="B8" s="7" t="inlineStr">
        <is>
          <t>Premium / (Discount)</t>
        </is>
      </c>
      <c r="C8" s="19">
        <f>Valuation!C17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22" t="inlineStr">
        <is>
          <t>Check</t>
        </is>
      </c>
      <c r="C4" s="22" t="inlineStr">
        <is>
          <t>Status</t>
        </is>
      </c>
    </row>
    <row r="5" ht="19.5" customHeight="1">
      <c r="B5" s="23" t="inlineStr">
        <is>
          <t>WACC is above terminal growth</t>
        </is>
      </c>
      <c r="C5" s="24">
        <f>IF(Assumptions!C15&gt;Assumptions!C16,"OK","CHECK")</f>
        <v/>
      </c>
    </row>
    <row r="6" ht="19.5" customHeight="1">
      <c r="B6" s="25" t="inlineStr">
        <is>
          <t>Discount factor row declines over time</t>
        </is>
      </c>
      <c r="C6" s="26">
        <f>IF(AND(Valuation!D6&lt;Valuation!C6,Valuation!H6&lt;Valuation!G6),"OK","CHECK")</f>
        <v/>
      </c>
    </row>
    <row r="7" ht="19.5" customHeight="1">
      <c r="B7" s="23" t="inlineStr">
        <is>
          <t>Implied share price is numeric</t>
        </is>
      </c>
      <c r="C7" s="24">
        <f>IF(ISNUMBER(Valuation!C16),"OK","CHECK")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13" t="inlineStr">
        <is>
          <t>Category</t>
        </is>
      </c>
      <c r="C4" s="13" t="inlineStr">
        <is>
          <t>Entity</t>
        </is>
      </c>
      <c r="D4" s="13" t="inlineStr">
        <is>
          <t>Document</t>
        </is>
      </c>
      <c r="E4" s="13" t="inlineStr">
        <is>
          <t>As of</t>
        </is>
      </c>
      <c r="F4" s="13" t="inlineStr">
        <is>
          <t>URL</t>
        </is>
      </c>
      <c r="G4" s="13" t="inlineStr">
        <is>
          <t>Local File</t>
        </is>
      </c>
      <c r="H4" s="13" t="inlineStr">
        <is>
          <t>Notes</t>
        </is>
      </c>
    </row>
    <row r="5" ht="33" customHeight="1">
      <c r="B5" s="23" t="inlineStr">
        <is>
          <t>DCF</t>
        </is>
      </c>
      <c r="C5" s="23" t="inlineStr">
        <is>
          <t>TransUnion</t>
        </is>
      </c>
      <c r="D5" s="23" t="inlineStr">
        <is>
          <t>2025 10-K</t>
        </is>
      </c>
      <c r="E5" s="27" t="inlineStr">
        <is>
          <t>2025-12-31</t>
        </is>
      </c>
      <c r="F5" s="27" t="inlineStr">
        <is>
          <t>https://www.sec.gov/Archives/edgar/data/1552033/000155203326000012/tru-20251231.htm</t>
        </is>
      </c>
      <c r="G5" s="27" t="inlineStr">
        <is>
          <t>data/raw/reference_html/tru_2025_10k.html</t>
        </is>
      </c>
      <c r="H5" s="27" t="inlineStr">
        <is>
          <t>Historical actuals and balance-sheet data.</t>
        </is>
      </c>
    </row>
    <row r="6" ht="33" customHeight="1">
      <c r="B6" s="25" t="inlineStr">
        <is>
          <t>DCF</t>
        </is>
      </c>
      <c r="C6" s="25" t="inlineStr">
        <is>
          <t>TransUnion</t>
        </is>
      </c>
      <c r="D6" s="25" t="inlineStr">
        <is>
          <t>2026 Earnings Release</t>
        </is>
      </c>
      <c r="E6" s="28" t="inlineStr">
        <is>
          <t>2026-02-12</t>
        </is>
      </c>
      <c r="F6" s="28" t="inlineStr">
        <is>
          <t>https://www.sec.gov/Archives/edgar/data/1552033/000155203326000006/exhibit99112312025.htm</t>
        </is>
      </c>
      <c r="G6" s="28" t="inlineStr">
        <is>
          <t>data/raw/reference_html/tru_2026_guidance.html</t>
        </is>
      </c>
      <c r="H6" s="28" t="inlineStr">
        <is>
          <t>Management 2026 revenue and adjusted EBITDA guidance.</t>
        </is>
      </c>
    </row>
    <row r="7" ht="33" customHeight="1">
      <c r="B7" s="23" t="inlineStr">
        <is>
          <t>Valuation</t>
        </is>
      </c>
      <c r="C7" s="23" t="inlineStr">
        <is>
          <t>Damodaran</t>
        </is>
      </c>
      <c r="D7" s="23" t="inlineStr">
        <is>
          <t>Implied ERP Update</t>
        </is>
      </c>
      <c r="E7" s="27" t="inlineStr">
        <is>
          <t>2026-04-01</t>
        </is>
      </c>
      <c r="F7" s="27" t="inlineStr">
        <is>
          <t>https://pages.stern.nyu.edu/~adamodar/New_Home_Page/home.htm</t>
        </is>
      </c>
      <c r="G7" s="27" t="inlineStr">
        <is>
          <t>data/raw/reference_html/damodaran_home_apr_2026.html</t>
        </is>
      </c>
      <c r="H7" s="27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2026-04-23T18:33:15+00:00Z</dcterms:modified>
  <cp:lastModifiedBy>Jordan Mahmood</cp:lastModifiedBy>
</cp:coreProperties>
</file>