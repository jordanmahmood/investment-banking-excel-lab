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76\Documents\.investment-banking-excel-lab\modules\05_dcf_model\"/>
    </mc:Choice>
  </mc:AlternateContent>
  <xr:revisionPtr revIDLastSave="0" documentId="8_{74B4E37E-4909-4458-A949-FD6BB5C237D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over" sheetId="1" r:id="rId1"/>
    <sheet name="Instructions" sheetId="2" r:id="rId2"/>
    <sheet name="Assumptions" sheetId="3" r:id="rId3"/>
    <sheet name="WACC" sheetId="4" r:id="rId4"/>
    <sheet name="Model" sheetId="5" r:id="rId5"/>
    <sheet name="Valuation" sheetId="6" r:id="rId6"/>
    <sheet name="TV_Bridge" sheetId="7" r:id="rId7"/>
    <sheet name="Football_Field" sheetId="8" r:id="rId8"/>
    <sheet name="Sensitivities" sheetId="9" r:id="rId9"/>
    <sheet name="Output" sheetId="10" r:id="rId10"/>
    <sheet name="Checks" sheetId="11" r:id="rId11"/>
    <sheet name="Source_Notes" sheetId="12" r:id="rId12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1" l="1"/>
  <c r="C7" i="11"/>
  <c r="C6" i="11"/>
  <c r="C5" i="11"/>
  <c r="H6" i="6"/>
  <c r="H5" i="6"/>
  <c r="H7" i="6" l="1"/>
</calcChain>
</file>

<file path=xl/sharedStrings.xml><?xml version="1.0" encoding="utf-8"?>
<sst xmlns="http://schemas.openxmlformats.org/spreadsheetml/2006/main" count="124" uniqueCount="109">
  <si>
    <t>TransUnion DCF Model | Full Track</t>
  </si>
  <si>
    <t>Advanced track with a transparent WACC bridge, terminal-value comparison, and football-field support.</t>
  </si>
  <si>
    <t>• Historicals are sourced from SEC filings; management's 2026 guide anchors the first forecast year.</t>
  </si>
  <si>
    <t>• WACC is built from Damodaran's April 1, 2026 U.S. ERP update, market-derived beta, and TRU cost of debt.</t>
  </si>
  <si>
    <t>• Sensitivities show implied per-share value across WACC and terminal growth combinations.</t>
  </si>
  <si>
    <t>Model Flow</t>
  </si>
  <si>
    <t>Audit WACC on the dedicated WACC sheet before touching the valuation output.</t>
  </si>
  <si>
    <t>Use TV_Bridge to compare perpetuity-growth and exit-multiple terminal value frameworks.</t>
  </si>
  <si>
    <t>Use Football_Field to frame the DCF against trading comps and precedent outputs.</t>
  </si>
  <si>
    <t>Valuation Inputs</t>
  </si>
  <si>
    <t>Valuation Date</t>
  </si>
  <si>
    <t>2026-04-01</t>
  </si>
  <si>
    <t>Share Price</t>
  </si>
  <si>
    <t>Shares Outstanding (mm)</t>
  </si>
  <si>
    <t>Cash ($mm)</t>
  </si>
  <si>
    <t>Debt ($mm)</t>
  </si>
  <si>
    <t>Risk-Free Rate</t>
  </si>
  <si>
    <t>Levered Beta</t>
  </si>
  <si>
    <t>Equity Risk Premium</t>
  </si>
  <si>
    <t>Cost of Equity</t>
  </si>
  <si>
    <t>Pre-tax Cost of Debt</t>
  </si>
  <si>
    <t>Tax Rate</t>
  </si>
  <si>
    <t>WACC</t>
  </si>
  <si>
    <t>Terminal Growth</t>
  </si>
  <si>
    <t>Revenue Growth</t>
  </si>
  <si>
    <t>EBITDA Margin</t>
  </si>
  <si>
    <t>D&amp;A Margin</t>
  </si>
  <si>
    <t>Capex Margin</t>
  </si>
  <si>
    <t>NWC Margin</t>
  </si>
  <si>
    <t>WACC Bridge</t>
  </si>
  <si>
    <t>After-tax Cost of Debt</t>
  </si>
  <si>
    <t>Equity Value</t>
  </si>
  <si>
    <t>Debt Value</t>
  </si>
  <si>
    <t>Equity Weight</t>
  </si>
  <si>
    <t>Debt Weight</t>
  </si>
  <si>
    <t>Historical &amp; Forecast Cash Flow Build ($mm)</t>
  </si>
  <si>
    <t>Revenue</t>
  </si>
  <si>
    <t>EBITDA</t>
  </si>
  <si>
    <t>D&amp;A</t>
  </si>
  <si>
    <t>EBIT</t>
  </si>
  <si>
    <t>Taxes</t>
  </si>
  <si>
    <t>Capex</t>
  </si>
  <si>
    <t>NWC</t>
  </si>
  <si>
    <t>Change in NWC</t>
  </si>
  <si>
    <t>UFCF</t>
  </si>
  <si>
    <t>DCF Valuation</t>
  </si>
  <si>
    <t>Discount Factor</t>
  </si>
  <si>
    <t>PV of UFCF</t>
  </si>
  <si>
    <t>Terminal Value</t>
  </si>
  <si>
    <t>PV of Terminal Value</t>
  </si>
  <si>
    <t>Enterprise Value</t>
  </si>
  <si>
    <t>Less: Debt</t>
  </si>
  <si>
    <t>Add: Cash</t>
  </si>
  <si>
    <t>Implied Share Price</t>
  </si>
  <si>
    <t>Premium / (Discount) to Current Price</t>
  </si>
  <si>
    <t>Terminal Value Bridge</t>
  </si>
  <si>
    <t>2030 EBITDA</t>
  </si>
  <si>
    <t>2030 UFCF</t>
  </si>
  <si>
    <t>Perpetuity Growth TV</t>
  </si>
  <si>
    <t>Selected Exit EBITDA Multiple</t>
  </si>
  <si>
    <t>Exit Multiple TV</t>
  </si>
  <si>
    <t>Discount Factor to 2030</t>
  </si>
  <si>
    <t>PV of Exit Multiple TV</t>
  </si>
  <si>
    <t>PV of Perpetuity TV</t>
  </si>
  <si>
    <t>Football Field Support</t>
  </si>
  <si>
    <t>Method</t>
  </si>
  <si>
    <t>Low</t>
  </si>
  <si>
    <t>Mid</t>
  </si>
  <si>
    <t>High</t>
  </si>
  <si>
    <t>Trading Comps</t>
  </si>
  <si>
    <t>Precedent Deals</t>
  </si>
  <si>
    <t>DCF Sensitivity</t>
  </si>
  <si>
    <t>Share Price Sensitivity</t>
  </si>
  <si>
    <t>DCF Output</t>
  </si>
  <si>
    <t>Current Share Price</t>
  </si>
  <si>
    <t>Premium / (Discount)</t>
  </si>
  <si>
    <t>Checks &amp; Audit</t>
  </si>
  <si>
    <t>Check</t>
  </si>
  <si>
    <t>Status</t>
  </si>
  <si>
    <t>Assumptions WACC equals reconstructed WACC on the WACC sheet</t>
  </si>
  <si>
    <t>WACC is above terminal growth</t>
  </si>
  <si>
    <t>Exit-multiple terminal value bridge is positive</t>
  </si>
  <si>
    <t>Football field output is numeric across all ranges</t>
  </si>
  <si>
    <t>Source Notes</t>
  </si>
  <si>
    <t>Category</t>
  </si>
  <si>
    <t>Entity</t>
  </si>
  <si>
    <t>Document</t>
  </si>
  <si>
    <t>As of</t>
  </si>
  <si>
    <t>URL</t>
  </si>
  <si>
    <t>Local File</t>
  </si>
  <si>
    <t>Notes</t>
  </si>
  <si>
    <t>DCF</t>
  </si>
  <si>
    <t>TransUnion</t>
  </si>
  <si>
    <t>2025 10-K</t>
  </si>
  <si>
    <t>2025-12-31</t>
  </si>
  <si>
    <t>https://www.sec.gov/Archives/edgar/data/1552033/000155203326000012/tru-20251231.htm</t>
  </si>
  <si>
    <t>data/raw/reference_html/tru_2025_10k.html</t>
  </si>
  <si>
    <t>Historical actuals and balance-sheet data.</t>
  </si>
  <si>
    <t>2026 Earnings Release</t>
  </si>
  <si>
    <t>2026-02-12</t>
  </si>
  <si>
    <t>https://www.sec.gov/Archives/edgar/data/1552033/000155203326000006/exhibit99112312025.htm</t>
  </si>
  <si>
    <t>data/raw/reference_html/tru_2026_guidance.html</t>
  </si>
  <si>
    <t>Management 2026 revenue and adjusted EBITDA guidance.</t>
  </si>
  <si>
    <t>Valuation</t>
  </si>
  <si>
    <t>Damodaran</t>
  </si>
  <si>
    <t>Implied ERP Update</t>
  </si>
  <si>
    <t>https://pages.stern.nyu.edu/~adamodar/New_Home_Page/home.htm</t>
  </si>
  <si>
    <t>data/raw/reference_html/damodaran_home_apr_2026.html</t>
  </si>
  <si>
    <t>Used for U.S. ERP and risk-free rate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</si>
</sst>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0.0"/>
    <numFmt numFmtId="166" formatCode="0.0%"/>
    <numFmt numFmtId="167" formatCode="0.00\x"/>
    <numFmt numFmtId="168" formatCode="0.000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E3A5F"/>
      <name val="Calibri"/>
    </font>
    <font>
      <sz val="10"/>
      <color rgb="FF1F2937"/>
      <name val="Calibri"/>
    </font>
    <font>
      <b/>
      <sz val="14"/>
      <color rgb="FFFFFFFF"/>
      <name val="Calibri"/>
    </font>
    <font>
      <b/>
      <sz val="10"/>
      <color rgb="FF1F2937"/>
      <name val="Calibri"/>
    </font>
    <font>
      <sz val="10"/>
      <color rgb="FF0000FF"/>
      <name val="Calibri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0253F"/>
      </patternFill>
    </fill>
    <fill>
      <patternFill patternType="solid">
        <fgColor rgb="FFDDEBF7"/>
      </patternFill>
    </fill>
    <fill>
      <patternFill patternType="solid">
        <fgColor rgb="FFEEF2F7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6" fontId="6" fillId="7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Historical &amp; Forecast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Model!$D$4:$K$4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Model!$D$5:$K$5</c:f>
              <c:numCache>
                <c:formatCode>#,##0.0</c:formatCode>
                <c:ptCount val="8"/>
                <c:pt idx="0">
                  <c:v>3831.2</c:v>
                </c:pt>
                <c:pt idx="1">
                  <c:v>4183.8</c:v>
                </c:pt>
                <c:pt idx="2">
                  <c:v>4576.3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4-4B2D-AF82-28DAE53E4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1"/>
  <sheetViews>
    <sheetView showGridLines="0" workbookViewId="0"/>
  </sheetViews>
  <sheetFormatPr defaultRowHeight="15" x14ac:dyDescent="0.25"/>
  <cols>
    <col min="2" max="8" width="18" customWidth="1"/>
  </cols>
  <sheetData>
    <row r="2" spans="2:8" ht="30.6" customHeight="1" x14ac:dyDescent="0.25">
      <c r="B2" s="31" t="s">
        <v>0</v>
      </c>
      <c r="C2" s="32"/>
      <c r="D2" s="32"/>
      <c r="E2" s="32"/>
      <c r="F2" s="32"/>
      <c r="G2" s="32"/>
      <c r="H2" s="33"/>
    </row>
    <row r="3" spans="2:8" ht="20.100000000000001" customHeight="1" x14ac:dyDescent="0.25">
      <c r="B3" s="34"/>
      <c r="C3" s="30"/>
      <c r="D3" s="30"/>
      <c r="E3" s="30"/>
      <c r="F3" s="30"/>
      <c r="G3" s="30"/>
      <c r="H3" s="35"/>
    </row>
    <row r="4" spans="2:8" ht="20.100000000000001" customHeight="1" x14ac:dyDescent="0.25">
      <c r="B4" s="36"/>
      <c r="C4" s="37"/>
      <c r="D4" s="37"/>
      <c r="E4" s="37"/>
      <c r="F4" s="37"/>
      <c r="G4" s="37"/>
      <c r="H4" s="38"/>
    </row>
    <row r="5" spans="2:8" ht="24" customHeight="1" x14ac:dyDescent="0.25">
      <c r="B5" s="39" t="s">
        <v>1</v>
      </c>
      <c r="C5" s="30"/>
      <c r="D5" s="30"/>
      <c r="E5" s="30"/>
      <c r="F5" s="30"/>
      <c r="G5" s="30"/>
      <c r="H5" s="30"/>
    </row>
    <row r="6" spans="2:8" ht="20.100000000000001" customHeight="1" x14ac:dyDescent="0.25"/>
    <row r="7" spans="2:8" ht="24" customHeight="1" x14ac:dyDescent="0.25">
      <c r="B7" s="29" t="s">
        <v>2</v>
      </c>
      <c r="C7" s="30"/>
      <c r="D7" s="30"/>
      <c r="E7" s="30"/>
      <c r="F7" s="30"/>
      <c r="G7" s="30"/>
      <c r="H7" s="30"/>
    </row>
    <row r="8" spans="2:8" ht="24" customHeight="1" x14ac:dyDescent="0.25">
      <c r="B8" s="29" t="s">
        <v>3</v>
      </c>
      <c r="C8" s="30"/>
      <c r="D8" s="30"/>
      <c r="E8" s="30"/>
      <c r="F8" s="30"/>
      <c r="G8" s="30"/>
      <c r="H8" s="30"/>
    </row>
    <row r="9" spans="2:8" ht="24" customHeight="1" x14ac:dyDescent="0.25">
      <c r="B9" s="29" t="s">
        <v>4</v>
      </c>
      <c r="C9" s="30"/>
      <c r="D9" s="30"/>
      <c r="E9" s="30"/>
      <c r="F9" s="30"/>
      <c r="G9" s="30"/>
      <c r="H9" s="30"/>
    </row>
    <row r="10" spans="2:8" ht="20.100000000000001" customHeight="1" x14ac:dyDescent="0.25"/>
    <row r="11" spans="2:8" ht="20.100000000000001" customHeight="1" x14ac:dyDescent="0.25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8"/>
  <sheetViews>
    <sheetView showGridLines="0" workbookViewId="0"/>
  </sheetViews>
  <sheetFormatPr defaultRowHeight="15" x14ac:dyDescent="0.25"/>
  <cols>
    <col min="2" max="2" width="6" customWidth="1"/>
    <col min="3" max="3" width="110" customWidth="1"/>
    <col min="4" max="8" width="13" customWidth="1"/>
  </cols>
  <sheetData>
    <row r="2" spans="2:8" ht="24.95" customHeight="1" x14ac:dyDescent="0.25">
      <c r="B2" s="40" t="s">
        <v>5</v>
      </c>
      <c r="C2" s="41"/>
      <c r="D2" s="41"/>
      <c r="E2" s="41"/>
      <c r="F2" s="41"/>
      <c r="G2" s="41"/>
      <c r="H2" s="42"/>
    </row>
    <row r="4" spans="2:8" ht="19.5" customHeight="1" x14ac:dyDescent="0.25">
      <c r="B4" s="1">
        <v>1</v>
      </c>
      <c r="C4" s="2" t="s">
        <v>6</v>
      </c>
    </row>
    <row r="6" spans="2:8" ht="19.5" customHeight="1" x14ac:dyDescent="0.25">
      <c r="B6" s="1">
        <v>2</v>
      </c>
      <c r="C6" s="2" t="s">
        <v>7</v>
      </c>
    </row>
    <row r="8" spans="2:8" ht="19.5" customHeight="1" x14ac:dyDescent="0.25">
      <c r="B8" s="1">
        <v>3</v>
      </c>
      <c r="C8" s="2" t="s">
        <v>8</v>
      </c>
    </row>
  </sheetData>
  <mergeCells count="1">
    <mergeCell ref="B2:H2"/>
  </mergeCells>
  <pageMargins left="0.35" right="0.3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5"/>
  <sheetViews>
    <sheetView showGridLines="0" workbookViewId="0"/>
  </sheetViews>
  <sheetFormatPr defaultRowHeight="15" x14ac:dyDescent="0.25"/>
  <cols>
    <col min="2" max="2" width="24" customWidth="1"/>
    <col min="3" max="3" width="16" customWidth="1"/>
    <col min="4" max="4" width="13" customWidth="1"/>
    <col min="5" max="9" width="14" customWidth="1"/>
  </cols>
  <sheetData>
    <row r="2" spans="2:9" ht="24.95" customHeight="1" x14ac:dyDescent="0.25">
      <c r="B2" s="40" t="s">
        <v>9</v>
      </c>
      <c r="C2" s="41"/>
      <c r="D2" s="41"/>
      <c r="E2" s="41"/>
      <c r="F2" s="41"/>
      <c r="G2" s="41"/>
      <c r="H2" s="41"/>
      <c r="I2" s="42"/>
    </row>
    <row r="4" spans="2:9" ht="19.5" customHeight="1" x14ac:dyDescent="0.25">
      <c r="B4" s="3" t="s">
        <v>10</v>
      </c>
      <c r="C4" s="4" t="s">
        <v>11</v>
      </c>
    </row>
    <row r="5" spans="2:9" ht="19.5" customHeight="1" x14ac:dyDescent="0.25">
      <c r="B5" s="3" t="s">
        <v>12</v>
      </c>
      <c r="C5" s="5">
        <v>68.790000915527344</v>
      </c>
    </row>
    <row r="6" spans="2:9" ht="19.5" customHeight="1" x14ac:dyDescent="0.25">
      <c r="B6" s="28" t="s">
        <v>13</v>
      </c>
      <c r="C6" s="6">
        <v>192.6</v>
      </c>
    </row>
    <row r="7" spans="2:9" ht="19.5" customHeight="1" x14ac:dyDescent="0.25">
      <c r="B7" s="3" t="s">
        <v>14</v>
      </c>
      <c r="C7" s="6">
        <v>853.6</v>
      </c>
    </row>
    <row r="8" spans="2:9" ht="19.5" customHeight="1" x14ac:dyDescent="0.25">
      <c r="B8" s="3" t="s">
        <v>15</v>
      </c>
      <c r="C8" s="6">
        <v>5035.8999999999996</v>
      </c>
    </row>
    <row r="9" spans="2:9" ht="19.5" customHeight="1" x14ac:dyDescent="0.25">
      <c r="B9" s="3" t="s">
        <v>16</v>
      </c>
      <c r="C9" s="7">
        <v>4.3200000000000002E-2</v>
      </c>
    </row>
    <row r="10" spans="2:9" ht="19.5" customHeight="1" x14ac:dyDescent="0.25">
      <c r="B10" s="3" t="s">
        <v>17</v>
      </c>
      <c r="C10" s="8">
        <v>1.56</v>
      </c>
    </row>
    <row r="11" spans="2:9" ht="19.5" customHeight="1" x14ac:dyDescent="0.25">
      <c r="B11" s="3" t="s">
        <v>18</v>
      </c>
      <c r="C11" s="7">
        <v>4.6699999999999998E-2</v>
      </c>
    </row>
    <row r="12" spans="2:9" ht="19.5" customHeight="1" x14ac:dyDescent="0.25">
      <c r="B12" s="3" t="s">
        <v>19</v>
      </c>
      <c r="C12" s="7">
        <v>0.116052</v>
      </c>
    </row>
    <row r="13" spans="2:9" ht="19.5" customHeight="1" x14ac:dyDescent="0.25">
      <c r="B13" s="3" t="s">
        <v>20</v>
      </c>
      <c r="C13" s="7">
        <v>4.6324309457388697E-2</v>
      </c>
    </row>
    <row r="14" spans="2:9" ht="19.5" customHeight="1" x14ac:dyDescent="0.25">
      <c r="B14" s="3" t="s">
        <v>21</v>
      </c>
      <c r="C14" s="7">
        <v>0.25</v>
      </c>
    </row>
    <row r="15" spans="2:9" ht="19.5" customHeight="1" x14ac:dyDescent="0.25">
      <c r="B15" s="3" t="s">
        <v>22</v>
      </c>
      <c r="C15" s="7">
        <v>9.3658448465271618E-2</v>
      </c>
    </row>
    <row r="16" spans="2:9" ht="19.5" customHeight="1" x14ac:dyDescent="0.25">
      <c r="B16" s="3" t="s">
        <v>23</v>
      </c>
      <c r="C16" s="7">
        <v>2.5000000000000001E-2</v>
      </c>
    </row>
    <row r="20" spans="2:9" x14ac:dyDescent="0.25">
      <c r="E20" s="9">
        <v>2026</v>
      </c>
      <c r="F20" s="9">
        <v>2027</v>
      </c>
      <c r="G20" s="9">
        <v>2028</v>
      </c>
      <c r="H20" s="9">
        <v>2029</v>
      </c>
      <c r="I20" s="9">
        <v>2030</v>
      </c>
    </row>
    <row r="21" spans="2:9" ht="19.5" customHeight="1" x14ac:dyDescent="0.25">
      <c r="B21" s="3" t="s">
        <v>24</v>
      </c>
      <c r="E21" s="21"/>
      <c r="F21" s="21"/>
      <c r="G21" s="21"/>
      <c r="H21" s="21"/>
      <c r="I21" s="21"/>
    </row>
    <row r="22" spans="2:9" ht="19.5" customHeight="1" x14ac:dyDescent="0.25">
      <c r="B22" s="3" t="s">
        <v>25</v>
      </c>
      <c r="E22" s="21"/>
      <c r="F22" s="21"/>
      <c r="G22" s="21"/>
      <c r="H22" s="21"/>
      <c r="I22" s="21"/>
    </row>
    <row r="23" spans="2:9" ht="19.5" customHeight="1" x14ac:dyDescent="0.25">
      <c r="B23" s="3" t="s">
        <v>26</v>
      </c>
      <c r="E23" s="21"/>
      <c r="F23" s="21"/>
      <c r="G23" s="21"/>
      <c r="H23" s="21"/>
      <c r="I23" s="21"/>
    </row>
    <row r="24" spans="2:9" ht="19.5" customHeight="1" x14ac:dyDescent="0.25">
      <c r="B24" s="3" t="s">
        <v>27</v>
      </c>
      <c r="E24" s="21"/>
      <c r="F24" s="21"/>
      <c r="G24" s="21"/>
      <c r="H24" s="21"/>
      <c r="I24" s="21"/>
    </row>
    <row r="25" spans="2:9" ht="19.5" customHeight="1" x14ac:dyDescent="0.25">
      <c r="B25" s="3" t="s">
        <v>28</v>
      </c>
      <c r="E25" s="21"/>
      <c r="F25" s="21"/>
      <c r="G25" s="21"/>
      <c r="H25" s="21"/>
      <c r="I25" s="21"/>
    </row>
  </sheetData>
  <mergeCells count="1">
    <mergeCell ref="B2:I2"/>
  </mergeCells>
  <pageMargins left="0.35" right="0.3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15"/>
  <sheetViews>
    <sheetView showGridLines="0" workbookViewId="0"/>
  </sheetViews>
  <sheetFormatPr defaultRowHeight="15" x14ac:dyDescent="0.25"/>
  <cols>
    <col min="2" max="2" width="26" customWidth="1"/>
    <col min="3" max="3" width="18" customWidth="1"/>
    <col min="4" max="8" width="13" customWidth="1"/>
  </cols>
  <sheetData>
    <row r="2" spans="2:8" ht="24.95" customHeight="1" x14ac:dyDescent="0.25">
      <c r="B2" s="40" t="s">
        <v>29</v>
      </c>
      <c r="C2" s="41"/>
      <c r="D2" s="41"/>
      <c r="E2" s="41"/>
      <c r="F2" s="41"/>
      <c r="G2" s="41"/>
      <c r="H2" s="42"/>
    </row>
    <row r="4" spans="2:8" ht="19.5" customHeight="1" x14ac:dyDescent="0.25">
      <c r="B4" s="3" t="s">
        <v>16</v>
      </c>
      <c r="C4" s="22"/>
    </row>
    <row r="5" spans="2:8" ht="19.5" customHeight="1" x14ac:dyDescent="0.25">
      <c r="B5" s="3" t="s">
        <v>17</v>
      </c>
      <c r="C5" s="23"/>
    </row>
    <row r="6" spans="2:8" ht="19.5" customHeight="1" x14ac:dyDescent="0.25">
      <c r="B6" s="3" t="s">
        <v>18</v>
      </c>
      <c r="C6" s="22"/>
    </row>
    <row r="7" spans="2:8" ht="19.5" customHeight="1" x14ac:dyDescent="0.25">
      <c r="B7" s="3" t="s">
        <v>19</v>
      </c>
      <c r="C7" s="22"/>
    </row>
    <row r="8" spans="2:8" ht="19.5" customHeight="1" x14ac:dyDescent="0.25">
      <c r="B8" s="3" t="s">
        <v>20</v>
      </c>
      <c r="C8" s="22"/>
    </row>
    <row r="9" spans="2:8" ht="19.5" customHeight="1" x14ac:dyDescent="0.25">
      <c r="B9" s="3" t="s">
        <v>21</v>
      </c>
      <c r="C9" s="22"/>
    </row>
    <row r="10" spans="2:8" ht="19.5" customHeight="1" x14ac:dyDescent="0.25">
      <c r="B10" s="3" t="s">
        <v>30</v>
      </c>
      <c r="C10" s="22"/>
    </row>
    <row r="11" spans="2:8" ht="19.5" customHeight="1" x14ac:dyDescent="0.25">
      <c r="B11" s="3" t="s">
        <v>31</v>
      </c>
      <c r="C11" s="24"/>
    </row>
    <row r="12" spans="2:8" ht="19.5" customHeight="1" x14ac:dyDescent="0.25">
      <c r="B12" s="3" t="s">
        <v>32</v>
      </c>
      <c r="C12" s="24"/>
    </row>
    <row r="13" spans="2:8" ht="19.5" customHeight="1" x14ac:dyDescent="0.25">
      <c r="B13" s="3" t="s">
        <v>33</v>
      </c>
      <c r="C13" s="22"/>
    </row>
    <row r="14" spans="2:8" ht="19.5" customHeight="1" x14ac:dyDescent="0.25">
      <c r="B14" s="3" t="s">
        <v>34</v>
      </c>
      <c r="C14" s="22"/>
    </row>
    <row r="15" spans="2:8" ht="19.5" customHeight="1" x14ac:dyDescent="0.25">
      <c r="B15" s="3" t="s">
        <v>22</v>
      </c>
      <c r="C15" s="22"/>
    </row>
  </sheetData>
  <mergeCells count="1">
    <mergeCell ref="B2:H2"/>
  </mergeCells>
  <pageMargins left="0.35" right="0.3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"/>
  <sheetViews>
    <sheetView showGridLines="0" workbookViewId="0"/>
  </sheetViews>
  <sheetFormatPr defaultRowHeight="15" x14ac:dyDescent="0.25"/>
  <cols>
    <col min="2" max="2" width="22" customWidth="1"/>
    <col min="3" max="3" width="13" customWidth="1"/>
    <col min="4" max="11" width="14" customWidth="1"/>
  </cols>
  <sheetData>
    <row r="2" spans="2:11" ht="24.95" customHeight="1" x14ac:dyDescent="0.25">
      <c r="B2" s="40" t="s">
        <v>35</v>
      </c>
      <c r="C2" s="41"/>
      <c r="D2" s="41"/>
      <c r="E2" s="41"/>
      <c r="F2" s="41"/>
      <c r="G2" s="41"/>
      <c r="H2" s="41"/>
      <c r="I2" s="41"/>
      <c r="J2" s="41"/>
      <c r="K2" s="42"/>
    </row>
    <row r="4" spans="2:11" x14ac:dyDescent="0.25">
      <c r="D4" s="9">
        <v>2023</v>
      </c>
      <c r="E4" s="9">
        <v>2024</v>
      </c>
      <c r="F4" s="9">
        <v>2025</v>
      </c>
      <c r="G4" s="9">
        <v>2026</v>
      </c>
      <c r="H4" s="9">
        <v>2027</v>
      </c>
      <c r="I4" s="9">
        <v>2028</v>
      </c>
      <c r="J4" s="9">
        <v>2029</v>
      </c>
      <c r="K4" s="9">
        <v>2030</v>
      </c>
    </row>
    <row r="5" spans="2:11" ht="19.5" customHeight="1" x14ac:dyDescent="0.25">
      <c r="B5" s="3" t="s">
        <v>36</v>
      </c>
      <c r="D5" s="10">
        <v>3831.2</v>
      </c>
      <c r="E5" s="10">
        <v>4183.8</v>
      </c>
      <c r="F5" s="10">
        <v>4576.3</v>
      </c>
      <c r="G5" s="24"/>
      <c r="H5" s="24"/>
      <c r="I5" s="24"/>
      <c r="J5" s="24"/>
      <c r="K5" s="24"/>
    </row>
    <row r="6" spans="2:11" ht="19.5" customHeight="1" x14ac:dyDescent="0.25">
      <c r="B6" s="3" t="s">
        <v>37</v>
      </c>
      <c r="D6" s="11">
        <v>652.9</v>
      </c>
      <c r="E6" s="11">
        <v>1204.5</v>
      </c>
      <c r="F6" s="11">
        <v>1432.6</v>
      </c>
      <c r="G6" s="24"/>
      <c r="H6" s="24"/>
      <c r="I6" s="24"/>
      <c r="J6" s="24"/>
      <c r="K6" s="24"/>
    </row>
    <row r="7" spans="2:11" ht="19.5" customHeight="1" x14ac:dyDescent="0.25">
      <c r="B7" s="3" t="s">
        <v>38</v>
      </c>
      <c r="D7" s="10">
        <v>524.4</v>
      </c>
      <c r="E7" s="10">
        <v>537.79999999999995</v>
      </c>
      <c r="F7" s="10">
        <v>574.79999999999995</v>
      </c>
      <c r="G7" s="24"/>
      <c r="H7" s="24"/>
      <c r="I7" s="24"/>
      <c r="J7" s="24"/>
      <c r="K7" s="24"/>
    </row>
    <row r="8" spans="2:11" ht="19.5" customHeight="1" x14ac:dyDescent="0.25">
      <c r="B8" s="3" t="s">
        <v>39</v>
      </c>
      <c r="D8" s="11">
        <v>128.5</v>
      </c>
      <c r="E8" s="11">
        <v>666.7</v>
      </c>
      <c r="F8" s="11">
        <v>857.8</v>
      </c>
      <c r="G8" s="24"/>
      <c r="H8" s="24"/>
      <c r="I8" s="24"/>
      <c r="J8" s="24"/>
      <c r="K8" s="24"/>
    </row>
    <row r="9" spans="2:11" ht="19.5" customHeight="1" x14ac:dyDescent="0.25">
      <c r="B9" s="3" t="s">
        <v>40</v>
      </c>
      <c r="D9" s="10">
        <v>32.125</v>
      </c>
      <c r="E9" s="10">
        <v>166.67500000000001</v>
      </c>
      <c r="F9" s="10">
        <v>214.45</v>
      </c>
      <c r="G9" s="24"/>
      <c r="H9" s="24"/>
      <c r="I9" s="24"/>
      <c r="J9" s="24"/>
      <c r="K9" s="24"/>
    </row>
    <row r="10" spans="2:11" ht="19.5" customHeight="1" x14ac:dyDescent="0.25">
      <c r="B10" s="3" t="s">
        <v>41</v>
      </c>
      <c r="D10" s="11">
        <v>310.7</v>
      </c>
      <c r="E10" s="11">
        <v>315.8</v>
      </c>
      <c r="F10" s="11">
        <v>326</v>
      </c>
      <c r="G10" s="24"/>
      <c r="H10" s="24"/>
      <c r="I10" s="24"/>
      <c r="J10" s="24"/>
      <c r="K10" s="24"/>
    </row>
    <row r="11" spans="2:11" ht="19.5" customHeight="1" x14ac:dyDescent="0.25">
      <c r="B11" s="3" t="s">
        <v>42</v>
      </c>
      <c r="D11" s="10">
        <v>405.4</v>
      </c>
      <c r="E11" s="10">
        <v>388.6</v>
      </c>
      <c r="F11" s="10">
        <v>441.8</v>
      </c>
      <c r="G11" s="24"/>
      <c r="H11" s="24"/>
      <c r="I11" s="24"/>
      <c r="J11" s="24"/>
      <c r="K11" s="24"/>
    </row>
    <row r="12" spans="2:11" ht="19.5" customHeight="1" x14ac:dyDescent="0.25">
      <c r="B12" s="3" t="s">
        <v>43</v>
      </c>
      <c r="D12" s="11">
        <v>0</v>
      </c>
      <c r="E12" s="11">
        <v>-16.8</v>
      </c>
      <c r="F12" s="11">
        <v>53.2</v>
      </c>
      <c r="G12" s="24"/>
      <c r="H12" s="24"/>
      <c r="I12" s="24"/>
      <c r="J12" s="24"/>
      <c r="K12" s="24"/>
    </row>
    <row r="13" spans="2:11" ht="19.5" customHeight="1" x14ac:dyDescent="0.25">
      <c r="B13" s="3" t="s">
        <v>44</v>
      </c>
      <c r="D13" s="10">
        <v>310.07499999999999</v>
      </c>
      <c r="E13" s="10">
        <v>738.82500000000005</v>
      </c>
      <c r="F13" s="10">
        <v>838.95</v>
      </c>
      <c r="G13" s="24"/>
      <c r="H13" s="24"/>
      <c r="I13" s="24"/>
      <c r="J13" s="24"/>
      <c r="K13" s="24"/>
    </row>
  </sheetData>
  <mergeCells count="1">
    <mergeCell ref="B2:K2"/>
  </mergeCells>
  <pageMargins left="0.35" right="0.3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17"/>
  <sheetViews>
    <sheetView showGridLines="0" tabSelected="1" workbookViewId="0">
      <selection activeCell="F10" sqref="F10"/>
    </sheetView>
  </sheetViews>
  <sheetFormatPr defaultRowHeight="15" x14ac:dyDescent="0.25"/>
  <cols>
    <col min="2" max="2" width="28" customWidth="1"/>
    <col min="3" max="3" width="18" customWidth="1"/>
    <col min="4" max="8" width="14" customWidth="1"/>
  </cols>
  <sheetData>
    <row r="2" spans="2:8" ht="24.95" customHeight="1" x14ac:dyDescent="0.25">
      <c r="B2" s="40" t="s">
        <v>45</v>
      </c>
      <c r="C2" s="41"/>
      <c r="D2" s="41"/>
      <c r="E2" s="41"/>
      <c r="F2" s="41"/>
      <c r="G2" s="41"/>
      <c r="H2" s="42"/>
    </row>
    <row r="4" spans="2:8" x14ac:dyDescent="0.25">
      <c r="D4" s="9">
        <v>2026</v>
      </c>
      <c r="E4" s="9">
        <v>2027</v>
      </c>
      <c r="F4" s="9">
        <v>2028</v>
      </c>
      <c r="G4" s="9">
        <v>2029</v>
      </c>
      <c r="H4" s="9">
        <v>2030</v>
      </c>
    </row>
    <row r="5" spans="2:8" ht="19.5" customHeight="1" x14ac:dyDescent="0.25">
      <c r="B5" s="3" t="s">
        <v>44</v>
      </c>
      <c r="C5" s="43"/>
      <c r="D5" s="24"/>
      <c r="E5" s="24"/>
      <c r="F5" s="24"/>
      <c r="G5" s="24"/>
      <c r="H5" s="10">
        <f>Model!K13</f>
        <v>0</v>
      </c>
    </row>
    <row r="6" spans="2:8" ht="19.5" customHeight="1" x14ac:dyDescent="0.25">
      <c r="B6" s="3" t="s">
        <v>46</v>
      </c>
      <c r="C6" s="43"/>
      <c r="D6" s="24"/>
      <c r="E6" s="24"/>
      <c r="F6" s="24"/>
      <c r="G6" s="24"/>
      <c r="H6" s="11">
        <f>1/((1+Assumptions!C15)^5)</f>
        <v>0.63913329011355124</v>
      </c>
    </row>
    <row r="7" spans="2:8" ht="19.5" customHeight="1" x14ac:dyDescent="0.25">
      <c r="B7" s="3" t="s">
        <v>47</v>
      </c>
      <c r="C7" s="43"/>
      <c r="D7" s="24"/>
      <c r="E7" s="24"/>
      <c r="F7" s="24"/>
      <c r="G7" s="24"/>
      <c r="H7" s="10">
        <f>H5*H6</f>
        <v>0</v>
      </c>
    </row>
    <row r="10" spans="2:8" ht="19.5" customHeight="1" x14ac:dyDescent="0.25">
      <c r="B10" s="3" t="s">
        <v>48</v>
      </c>
      <c r="C10" s="24"/>
    </row>
    <row r="11" spans="2:8" ht="19.5" customHeight="1" x14ac:dyDescent="0.25">
      <c r="B11" s="3" t="s">
        <v>49</v>
      </c>
      <c r="C11" s="24"/>
    </row>
    <row r="12" spans="2:8" ht="19.5" customHeight="1" x14ac:dyDescent="0.25">
      <c r="B12" s="3" t="s">
        <v>50</v>
      </c>
      <c r="C12" s="24"/>
    </row>
    <row r="13" spans="2:8" ht="19.5" customHeight="1" x14ac:dyDescent="0.25">
      <c r="B13" s="3" t="s">
        <v>51</v>
      </c>
      <c r="C13" s="24"/>
    </row>
    <row r="14" spans="2:8" ht="19.5" customHeight="1" x14ac:dyDescent="0.25">
      <c r="B14" s="3" t="s">
        <v>52</v>
      </c>
      <c r="C14" s="24"/>
    </row>
    <row r="15" spans="2:8" ht="19.5" customHeight="1" x14ac:dyDescent="0.25">
      <c r="B15" s="3" t="s">
        <v>31</v>
      </c>
      <c r="C15" s="24"/>
    </row>
    <row r="16" spans="2:8" ht="19.5" customHeight="1" x14ac:dyDescent="0.25">
      <c r="B16" s="3" t="s">
        <v>53</v>
      </c>
      <c r="C16" s="25"/>
    </row>
    <row r="17" spans="2:3" ht="33" customHeight="1" x14ac:dyDescent="0.25">
      <c r="B17" s="28" t="s">
        <v>54</v>
      </c>
      <c r="C17" s="21"/>
    </row>
  </sheetData>
  <mergeCells count="1">
    <mergeCell ref="B2:H2"/>
  </mergeCells>
  <pageMargins left="0.35" right="0.3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11"/>
  <sheetViews>
    <sheetView showGridLines="0" workbookViewId="0"/>
  </sheetViews>
  <sheetFormatPr defaultRowHeight="15" x14ac:dyDescent="0.25"/>
  <cols>
    <col min="2" max="2" width="28" customWidth="1"/>
    <col min="3" max="3" width="18" customWidth="1"/>
    <col min="4" max="8" width="13" customWidth="1"/>
  </cols>
  <sheetData>
    <row r="2" spans="2:8" ht="24.95" customHeight="1" x14ac:dyDescent="0.25">
      <c r="B2" s="40" t="s">
        <v>55</v>
      </c>
      <c r="C2" s="41"/>
      <c r="D2" s="41"/>
      <c r="E2" s="41"/>
      <c r="F2" s="41"/>
      <c r="G2" s="41"/>
      <c r="H2" s="42"/>
    </row>
    <row r="4" spans="2:8" ht="19.5" customHeight="1" x14ac:dyDescent="0.25">
      <c r="B4" s="3" t="s">
        <v>56</v>
      </c>
      <c r="C4" s="24"/>
    </row>
    <row r="5" spans="2:8" ht="19.5" customHeight="1" x14ac:dyDescent="0.25">
      <c r="B5" s="3" t="s">
        <v>57</v>
      </c>
      <c r="C5" s="24"/>
    </row>
    <row r="6" spans="2:8" ht="19.5" customHeight="1" x14ac:dyDescent="0.25">
      <c r="B6" s="3" t="s">
        <v>58</v>
      </c>
      <c r="C6" s="24"/>
    </row>
    <row r="7" spans="2:8" ht="33" customHeight="1" x14ac:dyDescent="0.25">
      <c r="B7" s="28" t="s">
        <v>59</v>
      </c>
      <c r="C7" s="26"/>
    </row>
    <row r="8" spans="2:8" ht="19.5" customHeight="1" x14ac:dyDescent="0.25">
      <c r="B8" s="3" t="s">
        <v>60</v>
      </c>
      <c r="C8" s="24"/>
    </row>
    <row r="9" spans="2:8" ht="19.5" customHeight="1" x14ac:dyDescent="0.25">
      <c r="B9" s="3" t="s">
        <v>61</v>
      </c>
      <c r="C9" s="27"/>
    </row>
    <row r="10" spans="2:8" ht="19.5" customHeight="1" x14ac:dyDescent="0.25">
      <c r="B10" s="3" t="s">
        <v>62</v>
      </c>
      <c r="C10" s="24"/>
    </row>
    <row r="11" spans="2:8" ht="19.5" customHeight="1" x14ac:dyDescent="0.25">
      <c r="B11" s="3" t="s">
        <v>63</v>
      </c>
      <c r="C11" s="24"/>
    </row>
  </sheetData>
  <mergeCells count="1">
    <mergeCell ref="B2:H2"/>
  </mergeCells>
  <pageMargins left="0.35" right="0.3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7"/>
  <sheetViews>
    <sheetView showGridLines="0" workbookViewId="0"/>
  </sheetViews>
  <sheetFormatPr defaultRowHeight="15" x14ac:dyDescent="0.25"/>
  <cols>
    <col min="2" max="2" width="22" customWidth="1"/>
    <col min="3" max="5" width="14" customWidth="1"/>
    <col min="6" max="8" width="13" customWidth="1"/>
  </cols>
  <sheetData>
    <row r="2" spans="2:8" ht="24.95" customHeight="1" x14ac:dyDescent="0.25">
      <c r="B2" s="40" t="s">
        <v>64</v>
      </c>
      <c r="C2" s="41"/>
      <c r="D2" s="41"/>
      <c r="E2" s="41"/>
      <c r="F2" s="41"/>
      <c r="G2" s="41"/>
      <c r="H2" s="42"/>
    </row>
    <row r="4" spans="2:8" ht="19.5" customHeight="1" x14ac:dyDescent="0.25">
      <c r="B4" s="9" t="s">
        <v>65</v>
      </c>
      <c r="C4" s="9" t="s">
        <v>66</v>
      </c>
      <c r="D4" s="9" t="s">
        <v>67</v>
      </c>
      <c r="E4" s="9" t="s">
        <v>68</v>
      </c>
    </row>
    <row r="5" spans="2:8" ht="19.5" customHeight="1" x14ac:dyDescent="0.25">
      <c r="B5" s="16" t="s">
        <v>69</v>
      </c>
      <c r="C5" s="25"/>
      <c r="D5" s="25"/>
      <c r="E5" s="25"/>
    </row>
    <row r="6" spans="2:8" ht="19.5" customHeight="1" x14ac:dyDescent="0.25">
      <c r="B6" s="18" t="s">
        <v>70</v>
      </c>
      <c r="C6" s="25"/>
      <c r="D6" s="25"/>
      <c r="E6" s="25"/>
    </row>
    <row r="7" spans="2:8" ht="19.5" customHeight="1" x14ac:dyDescent="0.25">
      <c r="B7" s="16" t="s">
        <v>71</v>
      </c>
      <c r="C7" s="25"/>
      <c r="D7" s="25"/>
      <c r="E7" s="25"/>
    </row>
  </sheetData>
  <mergeCells count="1">
    <mergeCell ref="B2:H2"/>
  </mergeCells>
  <pageMargins left="0.35" right="0.35" top="0.5" bottom="0.5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H9"/>
  <sheetViews>
    <sheetView showGridLines="0" workbookViewId="0"/>
  </sheetViews>
  <sheetFormatPr defaultRowHeight="15" x14ac:dyDescent="0.25"/>
  <cols>
    <col min="2" max="2" width="16" customWidth="1"/>
    <col min="3" max="3" width="13" customWidth="1"/>
    <col min="4" max="8" width="14" customWidth="1"/>
  </cols>
  <sheetData>
    <row r="2" spans="2:8" ht="24.95" customHeight="1" x14ac:dyDescent="0.25">
      <c r="B2" s="40" t="s">
        <v>72</v>
      </c>
      <c r="C2" s="41"/>
      <c r="D2" s="41"/>
      <c r="E2" s="41"/>
      <c r="F2" s="41"/>
      <c r="G2" s="41"/>
      <c r="H2" s="42"/>
    </row>
    <row r="4" spans="2:8" x14ac:dyDescent="0.25">
      <c r="D4" s="12">
        <v>8.3699999999999997E-2</v>
      </c>
      <c r="E4" s="12">
        <v>8.8700000000000001E-2</v>
      </c>
      <c r="F4" s="12">
        <v>9.3700000000000006E-2</v>
      </c>
      <c r="G4" s="12">
        <v>9.8699999999999996E-2</v>
      </c>
      <c r="H4" s="12">
        <v>0.1037</v>
      </c>
    </row>
    <row r="5" spans="2:8" x14ac:dyDescent="0.25">
      <c r="B5" s="12">
        <v>0.02</v>
      </c>
      <c r="D5" s="13">
        <v>72.22348801152944</v>
      </c>
      <c r="E5" s="13">
        <v>65.226326635272287</v>
      </c>
      <c r="F5" s="13">
        <v>59.18117155689913</v>
      </c>
      <c r="G5" s="13">
        <v>53.906516928978327</v>
      </c>
      <c r="H5" s="13">
        <v>49.264228968261463</v>
      </c>
    </row>
    <row r="6" spans="2:8" x14ac:dyDescent="0.25">
      <c r="B6" s="12">
        <v>2.2499999999999999E-2</v>
      </c>
      <c r="D6" s="13">
        <v>75.315193340076476</v>
      </c>
      <c r="E6" s="13">
        <v>67.828148890760588</v>
      </c>
      <c r="F6" s="13">
        <v>61.395208751272278</v>
      </c>
      <c r="G6" s="13">
        <v>55.80881707243946</v>
      </c>
      <c r="H6" s="13">
        <v>50.912541592995929</v>
      </c>
    </row>
    <row r="7" spans="2:8" x14ac:dyDescent="0.25">
      <c r="B7" s="12">
        <v>2.5000000000000001E-2</v>
      </c>
      <c r="D7" s="13">
        <v>78.670246652315797</v>
      </c>
      <c r="E7" s="13">
        <v>70.634195813084744</v>
      </c>
      <c r="F7" s="13">
        <v>63.77038402383856</v>
      </c>
      <c r="G7" s="13">
        <v>57.840174213421712</v>
      </c>
      <c r="H7" s="13">
        <v>52.665575477243387</v>
      </c>
    </row>
    <row r="8" spans="2:8" x14ac:dyDescent="0.25">
      <c r="B8" s="12">
        <v>2.75E-2</v>
      </c>
      <c r="D8" s="13">
        <v>82.323792252120938</v>
      </c>
      <c r="E8" s="13">
        <v>73.669494934945178</v>
      </c>
      <c r="F8" s="13">
        <v>66.324953199166671</v>
      </c>
      <c r="G8" s="13">
        <v>60.014182839023498</v>
      </c>
      <c r="H8" s="13">
        <v>54.533637831585828</v>
      </c>
    </row>
    <row r="9" spans="2:8" x14ac:dyDescent="0.25">
      <c r="B9" s="12">
        <v>0.03</v>
      </c>
      <c r="D9" s="13">
        <v>86.317519006470278</v>
      </c>
      <c r="E9" s="13">
        <v>76.963337423233241</v>
      </c>
      <c r="F9" s="13">
        <v>69.080038008350954</v>
      </c>
      <c r="G9" s="13">
        <v>62.346416255425979</v>
      </c>
      <c r="H9" s="13">
        <v>56.528434402640769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5" right="0.35" top="0.5" bottom="0.5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H8"/>
  <sheetViews>
    <sheetView showGridLines="0" workbookViewId="0"/>
  </sheetViews>
  <sheetFormatPr defaultRowHeight="15" x14ac:dyDescent="0.25"/>
  <cols>
    <col min="2" max="2" width="24" customWidth="1"/>
    <col min="3" max="3" width="18" customWidth="1"/>
    <col min="4" max="8" width="13" customWidth="1"/>
  </cols>
  <sheetData>
    <row r="2" spans="2:8" ht="24.95" customHeight="1" x14ac:dyDescent="0.25">
      <c r="B2" s="40" t="s">
        <v>73</v>
      </c>
      <c r="C2" s="41"/>
      <c r="D2" s="41"/>
      <c r="E2" s="41"/>
      <c r="F2" s="41"/>
      <c r="G2" s="41"/>
      <c r="H2" s="42"/>
    </row>
    <row r="4" spans="2:8" ht="19.5" customHeight="1" x14ac:dyDescent="0.25">
      <c r="B4" s="3" t="s">
        <v>50</v>
      </c>
      <c r="C4" s="24"/>
    </row>
    <row r="5" spans="2:8" ht="19.5" customHeight="1" x14ac:dyDescent="0.25">
      <c r="B5" s="3" t="s">
        <v>31</v>
      </c>
      <c r="C5" s="24"/>
    </row>
    <row r="6" spans="2:8" ht="19.5" customHeight="1" x14ac:dyDescent="0.25">
      <c r="B6" s="3" t="s">
        <v>53</v>
      </c>
      <c r="C6" s="25"/>
    </row>
    <row r="7" spans="2:8" ht="19.5" customHeight="1" x14ac:dyDescent="0.25">
      <c r="B7" s="3" t="s">
        <v>74</v>
      </c>
      <c r="C7" s="25"/>
    </row>
    <row r="8" spans="2:8" ht="19.5" customHeight="1" x14ac:dyDescent="0.25">
      <c r="B8" s="3" t="s">
        <v>75</v>
      </c>
      <c r="C8" s="21"/>
    </row>
  </sheetData>
  <mergeCells count="1">
    <mergeCell ref="B2:H2"/>
  </mergeCells>
  <pageMargins left="0.35" right="0.35" top="0.5" bottom="0.5" header="0.5" footer="0.5"/>
  <pageSetup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H8"/>
  <sheetViews>
    <sheetView showGridLines="0" workbookViewId="0"/>
  </sheetViews>
  <sheetFormatPr defaultRowHeight="15" x14ac:dyDescent="0.25"/>
  <cols>
    <col min="2" max="2" width="70" customWidth="1"/>
    <col min="3" max="3" width="16" customWidth="1"/>
    <col min="4" max="8" width="13" customWidth="1"/>
  </cols>
  <sheetData>
    <row r="2" spans="2:8" ht="24.95" customHeight="1" x14ac:dyDescent="0.25">
      <c r="B2" s="40" t="s">
        <v>76</v>
      </c>
      <c r="C2" s="41"/>
      <c r="D2" s="41"/>
      <c r="E2" s="41"/>
      <c r="F2" s="41"/>
      <c r="G2" s="41"/>
      <c r="H2" s="42"/>
    </row>
    <row r="4" spans="2:8" ht="19.5" customHeight="1" x14ac:dyDescent="0.25">
      <c r="B4" s="14" t="s">
        <v>77</v>
      </c>
      <c r="C4" s="14" t="s">
        <v>78</v>
      </c>
    </row>
    <row r="5" spans="2:8" ht="19.5" customHeight="1" x14ac:dyDescent="0.25">
      <c r="B5" s="15" t="s">
        <v>79</v>
      </c>
      <c r="C5" s="16" t="str">
        <f>IF(ABS(Assumptions!C15-WACC!C15)&lt;0.0001,"OK","CHECK")</f>
        <v>CHECK</v>
      </c>
    </row>
    <row r="6" spans="2:8" ht="19.5" customHeight="1" x14ac:dyDescent="0.25">
      <c r="B6" s="17" t="s">
        <v>80</v>
      </c>
      <c r="C6" s="18" t="str">
        <f>IF(Assumptions!C15&gt;Assumptions!C16,"OK","CHECK")</f>
        <v>OK</v>
      </c>
    </row>
    <row r="7" spans="2:8" ht="19.5" customHeight="1" x14ac:dyDescent="0.25">
      <c r="B7" s="15" t="s">
        <v>81</v>
      </c>
      <c r="C7" s="16" t="str">
        <f>IF(TV_Bridge!C8&gt;0,"OK","CHECK")</f>
        <v>CHECK</v>
      </c>
    </row>
    <row r="8" spans="2:8" ht="19.5" customHeight="1" x14ac:dyDescent="0.25">
      <c r="B8" s="17" t="s">
        <v>82</v>
      </c>
      <c r="C8" s="18" t="str">
        <f>IF(COUNT(Football_Field!C5:E7)=9,"OK","CHECK")</f>
        <v>CHECK</v>
      </c>
    </row>
  </sheetData>
  <mergeCells count="1">
    <mergeCell ref="B2:H2"/>
  </mergeCells>
  <conditionalFormatting sqref="C5:C8">
    <cfRule type="cellIs" dxfId="1" priority="1" operator="equal">
      <formula>"OK"</formula>
    </cfRule>
    <cfRule type="cellIs" dxfId="0" priority="2" operator="notEqual">
      <formula>"OK"</formula>
    </cfRule>
  </conditionalFormatting>
  <pageMargins left="0.35" right="0.35" top="0.5" bottom="0.5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H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8" customWidth="1"/>
    <col min="3" max="3" width="24" customWidth="1"/>
    <col min="4" max="4" width="28" customWidth="1"/>
    <col min="5" max="5" width="12" customWidth="1"/>
    <col min="6" max="6" width="48" customWidth="1"/>
    <col min="7" max="7" width="34" customWidth="1"/>
    <col min="8" max="8" width="48" customWidth="1"/>
  </cols>
  <sheetData>
    <row r="2" spans="2:8" ht="24.95" customHeight="1" x14ac:dyDescent="0.25">
      <c r="B2" s="40" t="s">
        <v>83</v>
      </c>
      <c r="C2" s="41"/>
      <c r="D2" s="41"/>
      <c r="E2" s="41"/>
      <c r="F2" s="41"/>
      <c r="G2" s="41"/>
      <c r="H2" s="42"/>
    </row>
    <row r="4" spans="2:8" ht="19.5" customHeight="1" x14ac:dyDescent="0.25"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90</v>
      </c>
    </row>
    <row r="5" spans="2:8" ht="33" customHeight="1" x14ac:dyDescent="0.25">
      <c r="B5" s="15" t="s">
        <v>91</v>
      </c>
      <c r="C5" s="15" t="s">
        <v>92</v>
      </c>
      <c r="D5" s="15" t="s">
        <v>93</v>
      </c>
      <c r="E5" s="19" t="s">
        <v>94</v>
      </c>
      <c r="F5" s="19" t="s">
        <v>95</v>
      </c>
      <c r="G5" s="19" t="s">
        <v>96</v>
      </c>
      <c r="H5" s="19" t="s">
        <v>97</v>
      </c>
    </row>
    <row r="6" spans="2:8" ht="33" customHeight="1" x14ac:dyDescent="0.25">
      <c r="B6" s="17" t="s">
        <v>91</v>
      </c>
      <c r="C6" s="17" t="s">
        <v>92</v>
      </c>
      <c r="D6" s="17" t="s">
        <v>98</v>
      </c>
      <c r="E6" s="20" t="s">
        <v>99</v>
      </c>
      <c r="F6" s="20" t="s">
        <v>100</v>
      </c>
      <c r="G6" s="20" t="s">
        <v>101</v>
      </c>
      <c r="H6" s="20" t="s">
        <v>102</v>
      </c>
    </row>
    <row r="7" spans="2:8" ht="33" customHeight="1" x14ac:dyDescent="0.25">
      <c r="B7" s="15" t="s">
        <v>103</v>
      </c>
      <c r="C7" s="15" t="s">
        <v>104</v>
      </c>
      <c r="D7" s="15" t="s">
        <v>105</v>
      </c>
      <c r="E7" s="19" t="s">
        <v>11</v>
      </c>
      <c r="F7" s="19" t="s">
        <v>106</v>
      </c>
      <c r="G7" s="19" t="s">
        <v>107</v>
      </c>
      <c r="H7" s="19" t="s">
        <v>108</v>
      </c>
    </row>
  </sheetData>
  <mergeCells count="1">
    <mergeCell ref="B2:H2"/>
  </mergeCells>
  <pageMargins left="0.35" right="0.3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Instructions</vt:lpstr>
      <vt:lpstr>Assumptions</vt:lpstr>
      <vt:lpstr>WACC</vt:lpstr>
      <vt:lpstr>Model</vt:lpstr>
      <vt:lpstr>Valuation</vt:lpstr>
      <vt:lpstr>TV_Bridge</vt:lpstr>
      <vt:lpstr>Football_Field</vt:lpstr>
      <vt:lpstr>Sensitivities</vt:lpstr>
      <vt:lpstr>Output</vt:lpstr>
      <vt:lpstr>Checks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Mahmood</dc:creator>
  <cp:lastModifiedBy>Jordan Mahmood</cp:lastModifiedBy>
  <dcterms:created xsi:type="dcterms:W3CDTF">2026-04-23T17:34:13Z</dcterms:created>
  <dcterms:modified xsi:type="dcterms:W3CDTF">2026-04-23T21:24:50Z</dcterms:modified>
</cp:coreProperties>
</file>