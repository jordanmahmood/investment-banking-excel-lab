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eal_Data" sheetId="3" state="visible" r:id="rId3"/>
    <sheet xmlns:r="http://schemas.openxmlformats.org/officeDocument/2006/relationships" name="Output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Source_Notes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#,##0.0"/>
    <numFmt numFmtId="167" formatCode="0.00x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left" vertical="center"/>
    </xf>
    <xf numFmtId="167" fontId="3" fillId="6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167" fontId="3" fillId="5" borderId="1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5" fillId="5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 / Revenue by Deal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'Deal_Data'!Q4</f>
            </strRef>
          </tx>
          <spPr>
            <a:ln xmlns:a="http://schemas.openxmlformats.org/drawingml/2006/main">
              <a:prstDash val="solid"/>
            </a:ln>
          </spPr>
          <cat>
            <numRef>
              <f>'Deal_Data'!$D$5:$D$9</f>
            </numRef>
          </cat>
          <val>
            <numRef>
              <f>'Deal_Data'!$Q$5:$Q$9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Multiple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Data &amp; Workflow Software Precedents</t>
        </is>
      </c>
      <c r="C2" s="34" t="n"/>
      <c r="D2" s="34" t="n"/>
      <c r="E2" s="34" t="n"/>
      <c r="F2" s="34" t="n"/>
      <c r="G2" s="34" t="n"/>
      <c r="H2" s="35" t="n"/>
    </row>
    <row r="3" ht="20" customHeight="1">
      <c r="B3" s="36" t="n"/>
      <c r="H3" s="37" t="n"/>
    </row>
    <row r="4" ht="20" customHeight="1">
      <c r="B4" s="38" t="n"/>
      <c r="C4" s="39" t="n"/>
      <c r="D4" s="39" t="n"/>
      <c r="E4" s="39" t="n"/>
      <c r="F4" s="39" t="n"/>
      <c r="G4" s="39" t="n"/>
      <c r="H4" s="40" t="n"/>
    </row>
    <row r="5" ht="24" customHeight="1">
      <c r="B5" s="41" t="inlineStr">
        <is>
          <t>Public M&amp;A set built from announced software, information, and workflow deals with sourced premium notes.</t>
        </is>
      </c>
    </row>
    <row r="6" ht="20" customHeight="1"/>
    <row r="7" ht="24" customHeight="1">
      <c r="B7" s="6" t="inlineStr">
        <is>
          <t>• Deal values use implied equity value and EV bridges anchored to offer price and last-filed balance-sheet data.</t>
        </is>
      </c>
    </row>
    <row r="8" ht="24" customHeight="1">
      <c r="B8" s="6" t="inlineStr">
        <is>
          <t>• Premium basis is explicitly labeled because announcement materials are inconsistent across transactions.</t>
        </is>
      </c>
    </row>
    <row r="9" ht="24" customHeight="1">
      <c r="B9" s="6" t="inlineStr">
        <is>
          <t>• Multiples use latest reported fiscal year metrics immediately preceding each deal announcement.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How To Read The Table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5" t="n">
        <v>1</v>
      </c>
      <c r="C4" s="6" t="inlineStr">
        <is>
          <t>Use Premium Basis before comparing announced premiums directly across transactions.</t>
        </is>
      </c>
    </row>
    <row r="5"/>
    <row r="6" ht="19.5" customHeight="1">
      <c r="B6" s="5" t="n">
        <v>2</v>
      </c>
      <c r="C6" s="6" t="inlineStr">
        <is>
          <t>EV / EBITDA is marked N/M when GAAP EBITDA is not meaningful.</t>
        </is>
      </c>
    </row>
    <row r="7"/>
    <row r="8" ht="19.5" customHeight="1">
      <c r="B8" s="5" t="n">
        <v>3</v>
      </c>
      <c r="C8" s="6" t="inlineStr">
        <is>
          <t>Re-run the script if you want to add more deals or change the screen.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2" max="2"/>
    <col width="10" customWidth="1" min="3" max="3"/>
    <col width="26" customWidth="1" min="4" max="4"/>
    <col width="24" customWidth="1" min="5" max="5"/>
    <col width="12" customWidth="1" min="6" max="6"/>
    <col width="12" customWidth="1" min="7" max="7"/>
    <col width="48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/>
    <row r="2" ht="22.5" customHeight="1">
      <c r="B2" s="7" t="inlineStr">
        <is>
          <t>Announced Transactions ($mm, except per share data and multiples)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9" t="n"/>
    </row>
    <row r="3" ht="33" customHeight="1">
      <c r="B3" s="42" t="inlineStr">
        <is>
          <t>Announce Date</t>
        </is>
      </c>
      <c r="C3" s="10" t="inlineStr">
        <is>
          <t>Ticker</t>
        </is>
      </c>
      <c r="D3" s="10" t="inlineStr">
        <is>
          <t>Target</t>
        </is>
      </c>
      <c r="E3" s="10" t="inlineStr">
        <is>
          <t>Buyer</t>
        </is>
      </c>
      <c r="F3" s="10" t="inlineStr">
        <is>
          <t>Offer Px</t>
        </is>
      </c>
      <c r="G3" s="10" t="inlineStr">
        <is>
          <t>Premium %</t>
        </is>
      </c>
      <c r="H3" s="10" t="inlineStr">
        <is>
          <t>Premium Basis</t>
        </is>
      </c>
      <c r="I3" s="42" t="inlineStr">
        <is>
          <t>Diluted Shares</t>
        </is>
      </c>
      <c r="J3" s="10" t="inlineStr">
        <is>
          <t>Equity Value</t>
        </is>
      </c>
      <c r="K3" s="10" t="inlineStr">
        <is>
          <t>Debt</t>
        </is>
      </c>
      <c r="L3" s="10" t="inlineStr">
        <is>
          <t>Cash</t>
        </is>
      </c>
      <c r="M3" s="10" t="inlineStr">
        <is>
          <t>Implied EV</t>
        </is>
      </c>
      <c r="N3" s="10" t="inlineStr">
        <is>
          <t>Latest FY</t>
        </is>
      </c>
      <c r="O3" s="10" t="inlineStr">
        <is>
          <t>Revenue</t>
        </is>
      </c>
      <c r="P3" s="10" t="inlineStr">
        <is>
          <t>EBITDA</t>
        </is>
      </c>
      <c r="Q3" s="42" t="inlineStr">
        <is>
          <t>EV / Revenue</t>
        </is>
      </c>
      <c r="R3" s="42" t="inlineStr">
        <is>
          <t>EV / EBITDA</t>
        </is>
      </c>
    </row>
    <row r="4" ht="33" customHeight="1">
      <c r="B4" s="11" t="inlineStr">
        <is>
          <t>2025-03-24</t>
        </is>
      </c>
      <c r="C4" s="11" t="inlineStr">
        <is>
          <t>DNB</t>
        </is>
      </c>
      <c r="D4" s="12" t="inlineStr">
        <is>
          <t>Dun &amp; Bradstreet Holdings</t>
        </is>
      </c>
      <c r="E4" s="12" t="inlineStr">
        <is>
          <t>Clearlake Capital Group</t>
        </is>
      </c>
      <c r="F4" s="11" t="n">
        <v>9.15</v>
      </c>
      <c r="G4" s="11" t="n">
        <v>0.048</v>
      </c>
      <c r="H4" s="12" t="inlineStr">
        <is>
          <t>Premium to last close per Reuters coverage of the announcement</t>
        </is>
      </c>
      <c r="I4" s="11" t="n">
        <v>441.5</v>
      </c>
      <c r="J4" s="11" t="n">
        <v>4039.9</v>
      </c>
      <c r="K4" s="11" t="n">
        <v>3528.7</v>
      </c>
      <c r="L4" s="11" t="n">
        <v>206.3</v>
      </c>
      <c r="M4" s="11" t="n">
        <v>7362.3</v>
      </c>
      <c r="N4" s="11" t="n">
        <v>2024</v>
      </c>
      <c r="O4" s="11" t="n">
        <v>2381.7</v>
      </c>
      <c r="P4" s="11" t="n">
        <v>772.4</v>
      </c>
      <c r="Q4" s="11" t="n">
        <v>3.09</v>
      </c>
      <c r="R4" s="11" t="n">
        <v>9.529999999999999</v>
      </c>
    </row>
    <row r="5" ht="33" customHeight="1">
      <c r="B5" s="13" t="inlineStr">
        <is>
          <t>2024-07-11</t>
        </is>
      </c>
      <c r="C5" s="13" t="inlineStr">
        <is>
          <t>ENV</t>
        </is>
      </c>
      <c r="D5" s="13" t="inlineStr">
        <is>
          <t>Envestnet</t>
        </is>
      </c>
      <c r="E5" s="14" t="inlineStr">
        <is>
          <t>Bain Capital and Reverence Capital</t>
        </is>
      </c>
      <c r="F5" s="15" t="n">
        <v>63.15</v>
      </c>
      <c r="G5" s="16" t="n">
        <v>0.023</v>
      </c>
      <c r="H5" s="14" t="inlineStr">
        <is>
          <t>Premium to prior close from transaction coverage</t>
        </is>
      </c>
      <c r="I5" s="17" t="n">
        <v>55.1</v>
      </c>
      <c r="J5" s="17" t="n">
        <v>3480.1</v>
      </c>
      <c r="K5" s="17" t="n">
        <v>877.8</v>
      </c>
      <c r="L5" s="17" t="n">
        <v>61.2</v>
      </c>
      <c r="M5" s="17" t="n">
        <v>4296.8</v>
      </c>
      <c r="N5" s="13" t="n">
        <v>2023</v>
      </c>
      <c r="O5" s="17" t="n">
        <v>1245.6</v>
      </c>
      <c r="P5" s="17" t="n">
        <v>-74.2</v>
      </c>
      <c r="Q5" s="18" t="n">
        <v>3.45</v>
      </c>
      <c r="R5" s="18" t="n"/>
    </row>
    <row r="6" ht="19.5" customHeight="1">
      <c r="B6" s="11" t="inlineStr">
        <is>
          <t>2024-04-08</t>
        </is>
      </c>
      <c r="C6" s="11" t="inlineStr">
        <is>
          <t>MODN</t>
        </is>
      </c>
      <c r="D6" s="11" t="inlineStr">
        <is>
          <t>Model N</t>
        </is>
      </c>
      <c r="E6" s="11" t="inlineStr">
        <is>
          <t>Vista Equity Partners</t>
        </is>
      </c>
      <c r="F6" s="19" t="n">
        <v>30</v>
      </c>
      <c r="G6" s="20" t="n">
        <v>0.16</v>
      </c>
      <c r="H6" s="12" t="inlineStr">
        <is>
          <t>Premium to 30-day VWAP as of April 5, 2024</t>
        </is>
      </c>
      <c r="I6" s="21" t="n">
        <v>39</v>
      </c>
      <c r="J6" s="21" t="n">
        <v>1171</v>
      </c>
      <c r="K6" s="21" t="n">
        <v>280.8</v>
      </c>
      <c r="L6" s="21" t="n">
        <v>303.5</v>
      </c>
      <c r="M6" s="21" t="n">
        <v>1148.3</v>
      </c>
      <c r="N6" s="11" t="n">
        <v>2023</v>
      </c>
      <c r="O6" s="21" t="n">
        <v>249.5</v>
      </c>
      <c r="P6" s="21" t="n">
        <v>4.1</v>
      </c>
      <c r="Q6" s="22" t="n">
        <v>4.6</v>
      </c>
      <c r="R6" s="22" t="n">
        <v>279.52</v>
      </c>
    </row>
    <row r="7" ht="33" customHeight="1">
      <c r="B7" s="13" t="inlineStr">
        <is>
          <t>2022-05-04</t>
        </is>
      </c>
      <c r="C7" s="13" t="inlineStr">
        <is>
          <t>BKI</t>
        </is>
      </c>
      <c r="D7" s="13" t="inlineStr">
        <is>
          <t>Black Knight</t>
        </is>
      </c>
      <c r="E7" s="14" t="inlineStr">
        <is>
          <t>Intercontinental Exchange</t>
        </is>
      </c>
      <c r="F7" s="15" t="n">
        <v>85</v>
      </c>
      <c r="G7" s="16" t="n">
        <v>0.43</v>
      </c>
      <c r="H7" s="14" t="inlineStr">
        <is>
          <t>Premium to April 4, 2022 unaffected market price before sale rumors</t>
        </is>
      </c>
      <c r="I7" s="17" t="n">
        <v>155.3</v>
      </c>
      <c r="J7" s="17" t="n">
        <v>13199</v>
      </c>
      <c r="K7" s="17" t="n">
        <v>2395.1</v>
      </c>
      <c r="L7" s="17" t="n">
        <v>77.09999999999999</v>
      </c>
      <c r="M7" s="17" t="n">
        <v>15517</v>
      </c>
      <c r="N7" s="13" t="n">
        <v>2021</v>
      </c>
      <c r="O7" s="17" t="n">
        <v>1475.2</v>
      </c>
      <c r="P7" s="17" t="n">
        <v>668</v>
      </c>
      <c r="Q7" s="18" t="n">
        <v>10.52</v>
      </c>
      <c r="R7" s="18" t="n">
        <v>23.23</v>
      </c>
    </row>
    <row r="8" ht="19.5" customHeight="1">
      <c r="B8" s="11" t="inlineStr">
        <is>
          <t>2021-12-17</t>
        </is>
      </c>
      <c r="C8" s="11" t="inlineStr">
        <is>
          <t>EPAY</t>
        </is>
      </c>
      <c r="D8" s="11" t="inlineStr">
        <is>
          <t>Bottomline Technologies</t>
        </is>
      </c>
      <c r="E8" s="11" t="inlineStr">
        <is>
          <t>Thoma Bravo</t>
        </is>
      </c>
      <c r="F8" s="19" t="n">
        <v>57</v>
      </c>
      <c r="G8" s="20" t="n">
        <v>0.42</v>
      </c>
      <c r="H8" s="12" t="inlineStr">
        <is>
          <t>Premium to October 19, 2021 unaffected close</t>
        </is>
      </c>
      <c r="I8" s="21" t="n">
        <v>45.2</v>
      </c>
      <c r="J8" s="21" t="n">
        <v>2574.9</v>
      </c>
      <c r="K8" s="21" t="n">
        <v>130</v>
      </c>
      <c r="L8" s="21" t="n">
        <v>124.6</v>
      </c>
      <c r="M8" s="21" t="n">
        <v>2580.3</v>
      </c>
      <c r="N8" s="11" t="n">
        <v>2020</v>
      </c>
      <c r="O8" s="21" t="n">
        <v>442.2</v>
      </c>
      <c r="P8" s="21" t="n">
        <v>23.8</v>
      </c>
      <c r="Q8" s="22" t="n">
        <v>5.83</v>
      </c>
      <c r="R8" s="22" t="n">
        <v>108.41</v>
      </c>
    </row>
    <row r="9">
      <c r="F9" s="23" t="n"/>
      <c r="G9" s="24" t="n"/>
      <c r="I9" s="25" t="n"/>
      <c r="J9" s="25" t="n"/>
      <c r="K9" s="25" t="n"/>
      <c r="L9" s="25" t="n"/>
      <c r="M9" s="25" t="n"/>
      <c r="O9" s="25" t="n"/>
      <c r="P9" s="25" t="n"/>
      <c r="Q9" s="26" t="n"/>
      <c r="R9" s="26" t="n"/>
    </row>
  </sheetData>
  <mergeCells count="1">
    <mergeCell ref="B2:R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Deal Summary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27" t="inlineStr">
        <is>
          <t>Median Premium</t>
        </is>
      </c>
      <c r="C4" s="28">
        <f>MEDIAN(Deal_Data!G5:G9)</f>
        <v/>
      </c>
    </row>
    <row r="5" ht="19.5" customHeight="1">
      <c r="B5" s="27" t="inlineStr">
        <is>
          <t>Median EV / Revenue</t>
        </is>
      </c>
      <c r="C5" s="29">
        <f>MEDIAN(Deal_Data!Q5:Q9)</f>
        <v/>
      </c>
    </row>
    <row r="6" ht="19.5" customHeight="1">
      <c r="B6" s="27" t="inlineStr">
        <is>
          <t>Median EV / EBITDA</t>
        </is>
      </c>
      <c r="C6" s="29">
        <f>MEDIAN(Deal_Data!R5:R9)</f>
        <v/>
      </c>
    </row>
    <row r="7" ht="19.5" customHeight="1">
      <c r="B7" s="27" t="inlineStr">
        <is>
          <t>Average Deal EV ($mm)</t>
        </is>
      </c>
      <c r="C7" s="30">
        <f>AVERAGE(Deal_Data!M5:M9)</f>
        <v/>
      </c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31" t="inlineStr">
        <is>
          <t>Check</t>
        </is>
      </c>
      <c r="C4" s="31" t="inlineStr">
        <is>
          <t>Status</t>
        </is>
      </c>
    </row>
    <row r="5" ht="19.5" customHeight="1">
      <c r="B5" s="13" t="inlineStr">
        <is>
          <t>All announced offer prices are populated</t>
        </is>
      </c>
      <c r="C5" s="32">
        <f>IF(COUNT(Deal_Data!F5:F9)=5,"OK","CHECK")</f>
        <v/>
      </c>
    </row>
    <row r="6" ht="19.5" customHeight="1">
      <c r="B6" s="11" t="inlineStr">
        <is>
          <t>At least four EV / Revenue observations are numeric</t>
        </is>
      </c>
      <c r="C6" s="33">
        <f>IF(COUNT(Deal_Data!Q5:Q9)&gt;=4,"OK","CHECK")</f>
        <v/>
      </c>
    </row>
    <row r="7" ht="19.5" customHeight="1">
      <c r="B7" s="13" t="inlineStr">
        <is>
          <t>Output median premium is numeric</t>
        </is>
      </c>
      <c r="C7" s="32">
        <f>IF(ISNUMBER(Output!C4),"OK","CHECK")</f>
        <v/>
      </c>
    </row>
  </sheetData>
  <mergeCells count="1">
    <mergeCell ref="B2:H2"/>
  </mergeCells>
  <conditionalFormatting sqref="C5:C7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10" t="inlineStr">
        <is>
          <t>Category</t>
        </is>
      </c>
      <c r="C4" s="10" t="inlineStr">
        <is>
          <t>Entity</t>
        </is>
      </c>
      <c r="D4" s="10" t="inlineStr">
        <is>
          <t>Document</t>
        </is>
      </c>
      <c r="E4" s="10" t="inlineStr">
        <is>
          <t>As of</t>
        </is>
      </c>
      <c r="F4" s="10" t="inlineStr">
        <is>
          <t>URL</t>
        </is>
      </c>
      <c r="G4" s="10" t="inlineStr">
        <is>
          <t>Local File</t>
        </is>
      </c>
      <c r="H4" s="10" t="inlineStr">
        <is>
          <t>Notes</t>
        </is>
      </c>
    </row>
    <row r="5" ht="33" customHeight="1">
      <c r="B5" s="14" t="inlineStr">
        <is>
          <t>Precedent Transaction</t>
        </is>
      </c>
      <c r="C5" s="14" t="inlineStr">
        <is>
          <t>Dun &amp; Bradstreet Holdings</t>
        </is>
      </c>
      <c r="D5" s="14" t="inlineStr">
        <is>
          <t>Announcement Press Release</t>
        </is>
      </c>
      <c r="E5" s="14" t="inlineStr">
        <is>
          <t>2025-03-24</t>
        </is>
      </c>
      <c r="F5" s="14" t="inlineStr">
        <is>
          <t>https://www.sec.gov/Archives/edgar/data/1799208/000110465925027293/tm2510133d1_ex99-1.htm</t>
        </is>
      </c>
      <c r="G5" s="14" t="inlineStr">
        <is>
          <t>data/raw/reference_html/dnb_announcement_press_release.html</t>
        </is>
      </c>
      <c r="H5" s="14" t="inlineStr">
        <is>
          <t>Public announcement material used for offer price and buyer context.</t>
        </is>
      </c>
    </row>
    <row r="6" ht="46.5" customHeight="1">
      <c r="B6" s="12" t="inlineStr">
        <is>
          <t>Precedent Transaction</t>
        </is>
      </c>
      <c r="C6" s="12" t="inlineStr">
        <is>
          <t>Dun &amp; Bradstreet Holdings</t>
        </is>
      </c>
      <c r="D6" s="11" t="inlineStr">
        <is>
          <t>Premium Reference</t>
        </is>
      </c>
      <c r="E6" s="12" t="inlineStr">
        <is>
          <t>2025-03-24</t>
        </is>
      </c>
      <c r="F6" s="12" t="inlineStr">
        <is>
          <t>https://www.investing.com/news/stock-market-news/pe-firm-clearlake-to-buy-dun--bradstreet-for-41-billion-in-cash-3945178</t>
        </is>
      </c>
      <c r="G6" s="12" t="inlineStr"/>
      <c r="H6" s="12" t="inlineStr">
        <is>
          <t>Public source documenting the premium basis noted in the workbook.</t>
        </is>
      </c>
    </row>
    <row r="7" ht="46.5" customHeight="1">
      <c r="B7" s="14" t="inlineStr">
        <is>
          <t>Precedent Transaction</t>
        </is>
      </c>
      <c r="C7" s="13" t="inlineStr">
        <is>
          <t>Envestnet</t>
        </is>
      </c>
      <c r="D7" s="14" t="inlineStr">
        <is>
          <t>Announcement Press Release</t>
        </is>
      </c>
      <c r="E7" s="14" t="inlineStr">
        <is>
          <t>2024-07-11</t>
        </is>
      </c>
      <c r="F7" s="14" t="inlineStr">
        <is>
          <t>https://www.stocktitan.net/news/ENV/envestnet-leading-wealth-technology-platform-announces-4-5-billion-i21lo25fnrhh.html</t>
        </is>
      </c>
      <c r="G7" s="14" t="inlineStr">
        <is>
          <t>data/raw/reference_html/env_announcement_press_release.html</t>
        </is>
      </c>
      <c r="H7" s="14" t="inlineStr">
        <is>
          <t>Public announcement material used for offer price and buyer context.</t>
        </is>
      </c>
    </row>
    <row r="8" ht="33" customHeight="1">
      <c r="B8" s="12" t="inlineStr">
        <is>
          <t>Precedent Transaction</t>
        </is>
      </c>
      <c r="C8" s="11" t="inlineStr">
        <is>
          <t>Envestnet</t>
        </is>
      </c>
      <c r="D8" s="11" t="inlineStr">
        <is>
          <t>Premium Reference</t>
        </is>
      </c>
      <c r="E8" s="12" t="inlineStr">
        <is>
          <t>2024-07-11</t>
        </is>
      </c>
      <c r="F8" s="12" t="inlineStr">
        <is>
          <t>https://citywire.com/ria/news/bain-capital-to-take-envestnet-private-in-4-5bn-deal/a2442550</t>
        </is>
      </c>
      <c r="G8" s="12" t="inlineStr">
        <is>
          <t>data/raw/reference_html/env_premium_reference.html</t>
        </is>
      </c>
      <c r="H8" s="12" t="inlineStr">
        <is>
          <t>Public source documenting the premium basis noted in the workbook.</t>
        </is>
      </c>
    </row>
    <row r="9" ht="33" customHeight="1">
      <c r="B9" s="14" t="inlineStr">
        <is>
          <t>Precedent Transaction</t>
        </is>
      </c>
      <c r="C9" s="13" t="inlineStr">
        <is>
          <t>Model N</t>
        </is>
      </c>
      <c r="D9" s="14" t="inlineStr">
        <is>
          <t>Announcement Press Release</t>
        </is>
      </c>
      <c r="E9" s="14" t="inlineStr">
        <is>
          <t>2024-04-08</t>
        </is>
      </c>
      <c r="F9" s="14" t="inlineStr">
        <is>
          <t>https://marketchameleon.com/PressReleases/i/1874156/MODN/model-n-to-be-acquired-by-vista</t>
        </is>
      </c>
      <c r="G9" s="14" t="inlineStr">
        <is>
          <t>data/raw/reference_html/modn_announcement_press_release.html</t>
        </is>
      </c>
      <c r="H9" s="14" t="inlineStr">
        <is>
          <t>Public announcement material used for offer price and buyer context.</t>
        </is>
      </c>
    </row>
    <row r="10" ht="46.5" customHeight="1">
      <c r="B10" s="12" t="inlineStr">
        <is>
          <t>Precedent Transaction</t>
        </is>
      </c>
      <c r="C10" s="11" t="inlineStr">
        <is>
          <t>Model N</t>
        </is>
      </c>
      <c r="D10" s="11" t="inlineStr">
        <is>
          <t>Premium Reference</t>
        </is>
      </c>
      <c r="E10" s="12" t="inlineStr">
        <is>
          <t>2024-04-08</t>
        </is>
      </c>
      <c r="F10" s="12" t="inlineStr">
        <is>
          <t>https://www.benzinga.com/markets/equities/24/04/38144970/why-information-technology-model-n-shares-are-surging-today</t>
        </is>
      </c>
      <c r="G10" s="12" t="inlineStr">
        <is>
          <t>data/raw/reference_html/modn_premium_reference.html</t>
        </is>
      </c>
      <c r="H10" s="12" t="inlineStr">
        <is>
          <t>Public source documenting the premium basis noted in the workbook.</t>
        </is>
      </c>
    </row>
    <row r="11" ht="46.5" customHeight="1">
      <c r="B11" s="14" t="inlineStr">
        <is>
          <t>Precedent Transaction</t>
        </is>
      </c>
      <c r="C11" s="13" t="inlineStr">
        <is>
          <t>Black Knight</t>
        </is>
      </c>
      <c r="D11" s="14" t="inlineStr">
        <is>
          <t>Announcement Press Release</t>
        </is>
      </c>
      <c r="E11" s="14" t="inlineStr">
        <is>
          <t>2022-05-04</t>
        </is>
      </c>
      <c r="F11" s="14" t="inlineStr">
        <is>
          <t>https://www.nasdaq.com/articles/intercontinental-exchange-to-buy-black-knight-in-%2413.1-bln-deal</t>
        </is>
      </c>
      <c r="G11" s="14" t="inlineStr"/>
      <c r="H11" s="14" t="inlineStr">
        <is>
          <t>Public announcement material used for offer price and buyer context.</t>
        </is>
      </c>
    </row>
    <row r="12" ht="33" customHeight="1">
      <c r="B12" s="12" t="inlineStr">
        <is>
          <t>Precedent Transaction</t>
        </is>
      </c>
      <c r="C12" s="11" t="inlineStr">
        <is>
          <t>Black Knight</t>
        </is>
      </c>
      <c r="D12" s="11" t="inlineStr">
        <is>
          <t>Premium Reference</t>
        </is>
      </c>
      <c r="E12" s="12" t="inlineStr">
        <is>
          <t>2022-05-04</t>
        </is>
      </c>
      <c r="F12" s="12" t="inlineStr">
        <is>
          <t>https://www.jaxdailyrecord.com/news/2022/may/12/low-stock-price-spurred-black-knight-deal/</t>
        </is>
      </c>
      <c r="G12" s="12" t="inlineStr">
        <is>
          <t>data/raw/reference_html/bki_premium_reference.html</t>
        </is>
      </c>
      <c r="H12" s="12" t="inlineStr">
        <is>
          <t>Public source documenting the premium basis noted in the workbook.</t>
        </is>
      </c>
    </row>
    <row r="13" ht="46.5" customHeight="1">
      <c r="B13" s="14" t="inlineStr">
        <is>
          <t>Precedent Transaction</t>
        </is>
      </c>
      <c r="C13" s="14" t="inlineStr">
        <is>
          <t>Bottomline Technologies</t>
        </is>
      </c>
      <c r="D13" s="14" t="inlineStr">
        <is>
          <t>Announcement Press Release</t>
        </is>
      </c>
      <c r="E13" s="14" t="inlineStr">
        <is>
          <t>2021-12-17</t>
        </is>
      </c>
      <c r="F13" s="14" t="inlineStr">
        <is>
          <t>https://marketchameleon.com/PressReleases/i/1352182/EPAY/bottomline-to-be-acquired-by-thoma-bravo</t>
        </is>
      </c>
      <c r="G13" s="14" t="inlineStr">
        <is>
          <t>data/raw/reference_html/epay_announcement_press_release.html</t>
        </is>
      </c>
      <c r="H13" s="14" t="inlineStr">
        <is>
          <t>Public announcement material used for offer price and buyer context.</t>
        </is>
      </c>
    </row>
    <row r="14" ht="33" customHeight="1">
      <c r="B14" s="12" t="inlineStr">
        <is>
          <t>Precedent Transaction</t>
        </is>
      </c>
      <c r="C14" s="12" t="inlineStr">
        <is>
          <t>Bottomline Technologies</t>
        </is>
      </c>
      <c r="D14" s="11" t="inlineStr">
        <is>
          <t>Premium Reference</t>
        </is>
      </c>
      <c r="E14" s="12" t="inlineStr">
        <is>
          <t>2021-12-17</t>
        </is>
      </c>
      <c r="F14" s="12" t="inlineStr">
        <is>
          <t>https://www.publicnow.com/view/6F71E0380357D4D65D2A238C7AB87A88E3B4D5A6?1652450101=</t>
        </is>
      </c>
      <c r="G14" s="12" t="inlineStr"/>
      <c r="H14" s="12" t="inlineStr">
        <is>
          <t>Public source documenting the premium basis noted in the workbook.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2026-04-23T17:34:13Z</dcterms:created>
  <dcterms:modified xsi:type="dcterms:W3CDTF">2026-04-23T18:35:08+00:00Z</dcterms:modified>
  <cp:lastModifiedBy>Jordan Mahmood</cp:lastModifiedBy>
</cp:coreProperties>
</file>