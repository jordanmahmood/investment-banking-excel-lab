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Transaction" sheetId="4" state="visible" r:id="rId4"/>
    <sheet xmlns:r="http://schemas.openxmlformats.org/officeDocument/2006/relationships" name="Operating_Case" sheetId="5" state="visible" r:id="rId5"/>
    <sheet xmlns:r="http://schemas.openxmlformats.org/officeDocument/2006/relationships" name="Debt_Schedule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Sensitivities" sheetId="8" state="visible" r:id="rId8"/>
    <sheet xmlns:r="http://schemas.openxmlformats.org/officeDocument/2006/relationships" name="Output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Source_Notes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#,##0.0"/>
    <numFmt numFmtId="166" formatCode="0.0%"/>
    <numFmt numFmtId="167" formatCode="0.00x"/>
    <numFmt numFmtId="168" formatCode="$#,##0.0"/>
    <numFmt numFmtId="169" formatCode="0.0x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7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8" fontId="6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9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167" fontId="8" fillId="7" borderId="1" applyAlignment="1" pivotButton="0" quotePrefix="0" xfId="0">
      <alignment horizontal="center" vertical="center"/>
    </xf>
    <xf numFmtId="168" fontId="8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Dun &amp; Bradstreet LBO Model | Full Track</t>
        </is>
      </c>
      <c r="C2" s="31" t="n"/>
      <c r="D2" s="31" t="n"/>
      <c r="E2" s="31" t="n"/>
      <c r="F2" s="31" t="n"/>
      <c r="G2" s="31" t="n"/>
      <c r="H2" s="32" t="n"/>
    </row>
    <row r="3" ht="20" customHeight="1">
      <c r="B3" s="33" t="n"/>
      <c r="H3" s="34" t="n"/>
    </row>
    <row r="4" ht="20" customHeight="1">
      <c r="B4" s="35" t="n"/>
      <c r="C4" s="36" t="n"/>
      <c r="D4" s="36" t="n"/>
      <c r="E4" s="36" t="n"/>
      <c r="F4" s="36" t="n"/>
      <c r="G4" s="36" t="n"/>
      <c r="H4" s="37" t="n"/>
    </row>
    <row r="5" ht="24" customHeight="1">
      <c r="B5" s="43" t="inlineStr">
        <is>
          <t>Formula-driven sponsor model with linked assumptions, debt rollforward, and return outputs.</t>
        </is>
      </c>
    </row>
    <row r="6" ht="20" customHeight="1"/>
    <row r="7" ht="24" customHeight="1">
      <c r="B7" s="6" t="inlineStr">
        <is>
          <t>• This version is built as a live model rather than a mostly pre-populated answer key.</t>
        </is>
      </c>
    </row>
    <row r="8" ht="24" customHeight="1">
      <c r="B8" s="6" t="inlineStr">
        <is>
          <t>• The operating case, debt schedule, and returns all link back to centralized assumptions.</t>
        </is>
      </c>
    </row>
    <row r="9" ht="24" customHeight="1">
      <c r="B9" s="6" t="inlineStr">
        <is>
          <t>• Sensitivity output is included to mirror timed analyst-test presentation standards.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Build Sequence</t>
        </is>
      </c>
      <c r="C2" s="44" t="n"/>
      <c r="D2" s="44" t="n"/>
      <c r="E2" s="44" t="n"/>
      <c r="F2" s="44" t="n"/>
      <c r="G2" s="44" t="n"/>
      <c r="H2" s="45" t="n"/>
    </row>
    <row r="3"/>
    <row r="4" ht="19.5" customHeight="1">
      <c r="B4" s="5" t="n">
        <v>1</v>
      </c>
      <c r="C4" s="6" t="inlineStr">
        <is>
          <t>Populate Assumptions first, then audit the Transaction bridge before modeling operations.</t>
        </is>
      </c>
    </row>
    <row r="5"/>
    <row r="6" ht="19.5" customHeight="1">
      <c r="B6" s="5" t="n">
        <v>2</v>
      </c>
      <c r="C6" s="6" t="inlineStr">
        <is>
          <t>Build Operating_Case, then the Debt_Schedule, then Returns and Sensitivities.</t>
        </is>
      </c>
    </row>
    <row r="7"/>
    <row r="8" ht="19.5" customHeight="1">
      <c r="B8" s="5" t="n">
        <v>3</v>
      </c>
      <c r="C8" s="6" t="inlineStr">
        <is>
          <t>Treat Output as the presentation tab and Checks as the model-control tab.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LBO Inputs</t>
        </is>
      </c>
      <c r="C2" s="44" t="n"/>
      <c r="D2" s="44" t="n"/>
      <c r="E2" s="44" t="n"/>
      <c r="F2" s="44" t="n"/>
      <c r="G2" s="44" t="n"/>
      <c r="H2" s="44" t="n"/>
      <c r="I2" s="45" t="n"/>
    </row>
    <row r="3"/>
    <row r="4" ht="19.5" customHeight="1">
      <c r="B4" s="7" t="inlineStr">
        <is>
          <t>Offer Price</t>
        </is>
      </c>
      <c r="C4" s="38" t="n"/>
    </row>
    <row r="5" ht="19.5" customHeight="1">
      <c r="B5" s="7" t="inlineStr">
        <is>
          <t>Shares Outstanding (mm)</t>
        </is>
      </c>
      <c r="C5" s="39" t="n"/>
    </row>
    <row r="6" ht="19.5" customHeight="1">
      <c r="B6" s="7" t="inlineStr">
        <is>
          <t>Debt Refinancing ($mm)</t>
        </is>
      </c>
      <c r="C6" s="39" t="n"/>
    </row>
    <row r="7" ht="19.5" customHeight="1">
      <c r="B7" s="7" t="inlineStr">
        <is>
          <t>Fees &amp; Expenses ($mm)</t>
        </is>
      </c>
      <c r="C7" s="39" t="n"/>
    </row>
    <row r="8" ht="19.5" customHeight="1">
      <c r="B8" s="7" t="inlineStr">
        <is>
          <t>Revolver ($mm)</t>
        </is>
      </c>
      <c r="C8" s="39" t="n"/>
    </row>
    <row r="9" ht="19.5" customHeight="1">
      <c r="B9" s="7" t="inlineStr">
        <is>
          <t>Term Loan B ($mm)</t>
        </is>
      </c>
      <c r="C9" s="39" t="n"/>
    </row>
    <row r="10" ht="19.5" customHeight="1">
      <c r="B10" s="7" t="inlineStr">
        <is>
          <t>Senior Notes ($mm)</t>
        </is>
      </c>
      <c r="C10" s="39" t="n"/>
    </row>
    <row r="11" ht="19.5" customHeight="1">
      <c r="B11" s="7" t="inlineStr">
        <is>
          <t>Revolver Rate</t>
        </is>
      </c>
      <c r="C11" s="40" t="n"/>
    </row>
    <row r="12" ht="19.5" customHeight="1">
      <c r="B12" s="7" t="inlineStr">
        <is>
          <t>TLB Rate</t>
        </is>
      </c>
      <c r="C12" s="40" t="n"/>
    </row>
    <row r="13" ht="19.5" customHeight="1">
      <c r="B13" s="7" t="inlineStr">
        <is>
          <t>Senior Notes Rate</t>
        </is>
      </c>
      <c r="C13" s="40" t="n"/>
    </row>
    <row r="14" ht="33" customHeight="1">
      <c r="B14" s="46" t="inlineStr">
        <is>
          <t>Mandatory TLB Amortization ($mm)</t>
        </is>
      </c>
      <c r="C14" s="39" t="n"/>
    </row>
    <row r="15" ht="19.5" customHeight="1">
      <c r="B15" s="7" t="inlineStr">
        <is>
          <t>Exit Multiple</t>
        </is>
      </c>
      <c r="C15" s="41" t="n"/>
    </row>
    <row r="16" ht="33" customHeight="1">
      <c r="B16" s="46" t="inlineStr">
        <is>
          <t>Incremental NWC % of Sales Growth</t>
        </is>
      </c>
      <c r="C16" s="40" t="n"/>
    </row>
    <row r="17"/>
    <row r="18"/>
    <row r="19"/>
    <row r="20">
      <c r="D20" s="12" t="n">
        <v>2025</v>
      </c>
      <c r="E20" s="12" t="n">
        <v>2026</v>
      </c>
      <c r="F20" s="12" t="n">
        <v>2027</v>
      </c>
      <c r="G20" s="12" t="n">
        <v>2028</v>
      </c>
      <c r="H20" s="12" t="n">
        <v>2029</v>
      </c>
      <c r="I20" s="12" t="n">
        <v>2030</v>
      </c>
    </row>
    <row r="21" ht="19.5" customHeight="1">
      <c r="B21" s="7" t="inlineStr">
        <is>
          <t>Revenue Base / Growth</t>
        </is>
      </c>
      <c r="D21" s="42" t="n"/>
      <c r="E21" s="42" t="n"/>
      <c r="F21" s="42" t="n"/>
      <c r="G21" s="42" t="n"/>
      <c r="H21" s="42" t="n"/>
      <c r="I21" s="42" t="n"/>
    </row>
    <row r="22" ht="19.5" customHeight="1">
      <c r="B22" s="7" t="inlineStr">
        <is>
          <t>Revenue Growth</t>
        </is>
      </c>
      <c r="D22" s="40" t="n"/>
      <c r="E22" s="40" t="n"/>
      <c r="F22" s="40" t="n"/>
      <c r="G22" s="40" t="n"/>
      <c r="H22" s="40" t="n"/>
      <c r="I22" s="40" t="n"/>
    </row>
    <row r="23" ht="19.5" customHeight="1">
      <c r="B23" s="7" t="inlineStr">
        <is>
          <t>EBITDA Margin</t>
        </is>
      </c>
      <c r="D23" s="40" t="n"/>
      <c r="E23" s="40" t="n"/>
      <c r="F23" s="40" t="n"/>
      <c r="G23" s="40" t="n"/>
      <c r="H23" s="40" t="n"/>
      <c r="I23" s="40" t="n"/>
    </row>
    <row r="24" ht="19.5" customHeight="1">
      <c r="B24" s="7" t="inlineStr">
        <is>
          <t>D&amp;A ($mm)</t>
        </is>
      </c>
      <c r="D24" s="39" t="n"/>
      <c r="E24" s="39" t="n"/>
      <c r="F24" s="39" t="n"/>
      <c r="G24" s="39" t="n"/>
      <c r="H24" s="39" t="n"/>
      <c r="I24" s="39" t="n"/>
    </row>
    <row r="25" ht="19.5" customHeight="1">
      <c r="B25" s="7" t="inlineStr">
        <is>
          <t>Capex ($mm)</t>
        </is>
      </c>
      <c r="D25" s="39" t="n"/>
      <c r="E25" s="39" t="n"/>
      <c r="F25" s="39" t="n"/>
      <c r="G25" s="39" t="n"/>
      <c r="H25" s="39" t="n"/>
      <c r="I25" s="39" t="n"/>
    </row>
    <row r="26" ht="19.5" customHeight="1">
      <c r="B26" s="7" t="inlineStr">
        <is>
          <t>Cash Tax Rate</t>
        </is>
      </c>
      <c r="D26" s="40" t="n"/>
      <c r="E26" s="40" t="n"/>
      <c r="F26" s="40" t="n"/>
      <c r="G26" s="40" t="n"/>
      <c r="H26" s="40" t="n"/>
      <c r="I26" s="40" t="n"/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24" customWidth="1" min="5" max="5"/>
    <col width="16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Sources &amp; Uses ($mm)</t>
        </is>
      </c>
      <c r="C2" s="44" t="n"/>
      <c r="D2" s="44" t="n"/>
      <c r="E2" s="44" t="n"/>
      <c r="F2" s="44" t="n"/>
      <c r="G2" s="44" t="n"/>
      <c r="H2" s="45" t="n"/>
    </row>
    <row r="3"/>
    <row r="4" ht="19.5" customHeight="1">
      <c r="B4" s="7" t="inlineStr">
        <is>
          <t>Equity Purchase</t>
        </is>
      </c>
      <c r="C4" s="39" t="n"/>
      <c r="E4" s="7" t="inlineStr">
        <is>
          <t>Revolver</t>
        </is>
      </c>
      <c r="F4" s="39" t="n"/>
    </row>
    <row r="5" ht="19.5" customHeight="1">
      <c r="B5" s="7" t="inlineStr">
        <is>
          <t>Debt Refinancing</t>
        </is>
      </c>
      <c r="C5" s="39" t="n"/>
      <c r="E5" s="7" t="inlineStr">
        <is>
          <t>Term Loan B</t>
        </is>
      </c>
      <c r="F5" s="39" t="n"/>
    </row>
    <row r="6" ht="19.5" customHeight="1">
      <c r="B6" s="7" t="inlineStr">
        <is>
          <t>Fees &amp; Expenses</t>
        </is>
      </c>
      <c r="C6" s="39" t="n"/>
      <c r="E6" s="7" t="inlineStr">
        <is>
          <t>Senior Notes</t>
        </is>
      </c>
      <c r="F6" s="39" t="n"/>
    </row>
    <row r="7" ht="19.5" customHeight="1">
      <c r="B7" s="7" t="inlineStr">
        <is>
          <t>Total Uses</t>
        </is>
      </c>
      <c r="C7" s="39" t="n"/>
      <c r="E7" s="7" t="inlineStr">
        <is>
          <t>Sponsor Equity</t>
        </is>
      </c>
      <c r="F7" s="39" t="n"/>
    </row>
    <row r="8" ht="19.5" customHeight="1">
      <c r="E8" s="7" t="inlineStr">
        <is>
          <t>Total Sources</t>
        </is>
      </c>
      <c r="F8" s="39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Operating Case ($mm)</t>
        </is>
      </c>
      <c r="C2" s="44" t="n"/>
      <c r="D2" s="44" t="n"/>
      <c r="E2" s="44" t="n"/>
      <c r="F2" s="44" t="n"/>
      <c r="G2" s="44" t="n"/>
      <c r="H2" s="44" t="n"/>
      <c r="I2" s="45" t="n"/>
    </row>
    <row r="3"/>
    <row r="4">
      <c r="D4" s="12" t="n">
        <v>2025</v>
      </c>
      <c r="E4" s="12" t="n">
        <v>2026</v>
      </c>
      <c r="F4" s="12" t="n">
        <v>2027</v>
      </c>
      <c r="G4" s="12" t="n">
        <v>2028</v>
      </c>
      <c r="H4" s="12" t="n">
        <v>2029</v>
      </c>
      <c r="I4" s="12" t="n">
        <v>2030</v>
      </c>
    </row>
    <row r="5" ht="19.5" customHeight="1">
      <c r="B5" s="7" t="inlineStr">
        <is>
          <t>Revenue</t>
        </is>
      </c>
      <c r="D5" s="39" t="n"/>
      <c r="E5" s="39" t="n"/>
      <c r="F5" s="39" t="n"/>
      <c r="G5" s="39" t="n"/>
      <c r="H5" s="39" t="n"/>
      <c r="I5" s="39" t="n"/>
    </row>
    <row r="6" ht="19.5" customHeight="1">
      <c r="B6" s="7" t="inlineStr">
        <is>
          <t>Revenue Growth</t>
        </is>
      </c>
      <c r="D6" s="40" t="n"/>
      <c r="E6" s="40" t="n"/>
      <c r="F6" s="40" t="n"/>
      <c r="G6" s="40" t="n"/>
      <c r="H6" s="40" t="n"/>
      <c r="I6" s="40" t="n"/>
    </row>
    <row r="7" ht="19.5" customHeight="1">
      <c r="B7" s="7" t="inlineStr">
        <is>
          <t>EBITDA Margin</t>
        </is>
      </c>
      <c r="D7" s="40" t="n"/>
      <c r="E7" s="40" t="n"/>
      <c r="F7" s="40" t="n"/>
      <c r="G7" s="40" t="n"/>
      <c r="H7" s="40" t="n"/>
      <c r="I7" s="40" t="n"/>
    </row>
    <row r="8" ht="19.5" customHeight="1">
      <c r="B8" s="7" t="inlineStr">
        <is>
          <t>EBITDA</t>
        </is>
      </c>
      <c r="D8" s="39" t="n"/>
      <c r="E8" s="39" t="n"/>
      <c r="F8" s="39" t="n"/>
      <c r="G8" s="39" t="n"/>
      <c r="H8" s="39" t="n"/>
      <c r="I8" s="39" t="n"/>
    </row>
    <row r="9" ht="19.5" customHeight="1">
      <c r="B9" s="7" t="inlineStr">
        <is>
          <t>D&amp;A</t>
        </is>
      </c>
      <c r="D9" s="39" t="n"/>
      <c r="E9" s="39" t="n"/>
      <c r="F9" s="39" t="n"/>
      <c r="G9" s="39" t="n"/>
      <c r="H9" s="39" t="n"/>
      <c r="I9" s="39" t="n"/>
    </row>
    <row r="10" ht="19.5" customHeight="1">
      <c r="B10" s="7" t="inlineStr">
        <is>
          <t>EBIT</t>
        </is>
      </c>
      <c r="D10" s="39" t="n"/>
      <c r="E10" s="39" t="n"/>
      <c r="F10" s="39" t="n"/>
      <c r="G10" s="39" t="n"/>
      <c r="H10" s="39" t="n"/>
      <c r="I10" s="39" t="n"/>
    </row>
    <row r="11" ht="19.5" customHeight="1">
      <c r="B11" s="7" t="inlineStr">
        <is>
          <t>Cash Tax Rate</t>
        </is>
      </c>
      <c r="D11" s="40" t="n"/>
      <c r="E11" s="40" t="n"/>
      <c r="F11" s="40" t="n"/>
      <c r="G11" s="40" t="n"/>
      <c r="H11" s="40" t="n"/>
      <c r="I11" s="40" t="n"/>
    </row>
    <row r="12" ht="19.5" customHeight="1">
      <c r="B12" s="7" t="inlineStr">
        <is>
          <t>Cash Taxes</t>
        </is>
      </c>
      <c r="D12" s="39" t="n"/>
      <c r="E12" s="39" t="n"/>
      <c r="F12" s="39" t="n"/>
      <c r="G12" s="39" t="n"/>
      <c r="H12" s="39" t="n"/>
      <c r="I12" s="39" t="n"/>
    </row>
    <row r="13" ht="19.5" customHeight="1">
      <c r="B13" s="7" t="inlineStr">
        <is>
          <t>Capex</t>
        </is>
      </c>
      <c r="D13" s="39" t="n"/>
      <c r="E13" s="39" t="n"/>
      <c r="F13" s="39" t="n"/>
      <c r="G13" s="39" t="n"/>
      <c r="H13" s="39" t="n"/>
      <c r="I13" s="39" t="n"/>
    </row>
    <row r="14" ht="19.5" customHeight="1">
      <c r="B14" s="7" t="inlineStr">
        <is>
          <t>Change in NWC</t>
        </is>
      </c>
      <c r="D14" s="39" t="n"/>
      <c r="E14" s="39" t="n"/>
      <c r="F14" s="39" t="n"/>
      <c r="G14" s="39" t="n"/>
      <c r="H14" s="39" t="n"/>
      <c r="I14" s="39" t="n"/>
    </row>
    <row r="15" ht="19.5" customHeight="1">
      <c r="B15" s="7" t="inlineStr">
        <is>
          <t>Pre-Interest FCF</t>
        </is>
      </c>
      <c r="D15" s="39" t="n"/>
      <c r="E15" s="39" t="n"/>
      <c r="F15" s="39" t="n"/>
      <c r="G15" s="39" t="n"/>
      <c r="H15" s="39" t="n"/>
      <c r="I15" s="39" t="n"/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Debt Schedule ($mm)</t>
        </is>
      </c>
      <c r="C2" s="44" t="n"/>
      <c r="D2" s="44" t="n"/>
      <c r="E2" s="44" t="n"/>
      <c r="F2" s="44" t="n"/>
      <c r="G2" s="44" t="n"/>
      <c r="H2" s="44" t="n"/>
      <c r="I2" s="45" t="n"/>
    </row>
    <row r="3"/>
    <row r="4">
      <c r="D4" s="12" t="n">
        <v>2025</v>
      </c>
      <c r="E4" s="12" t="n">
        <v>2026</v>
      </c>
      <c r="F4" s="12" t="n">
        <v>2027</v>
      </c>
      <c r="G4" s="12" t="n">
        <v>2028</v>
      </c>
      <c r="H4" s="12" t="n">
        <v>2029</v>
      </c>
      <c r="I4" s="12" t="n">
        <v>2030</v>
      </c>
    </row>
    <row r="5" ht="19.5" customHeight="1">
      <c r="B5" s="7" t="inlineStr">
        <is>
          <t>Beginning Revolver</t>
        </is>
      </c>
      <c r="D5" s="39" t="n"/>
      <c r="E5" s="39" t="n"/>
      <c r="F5" s="39" t="n"/>
      <c r="G5" s="39" t="n"/>
      <c r="H5" s="39" t="n"/>
      <c r="I5" s="39" t="n"/>
    </row>
    <row r="6" ht="19.5" customHeight="1">
      <c r="B6" s="7" t="inlineStr">
        <is>
          <t>Beginning TLB</t>
        </is>
      </c>
      <c r="D6" s="39" t="n"/>
      <c r="E6" s="39" t="n"/>
      <c r="F6" s="39" t="n"/>
      <c r="G6" s="39" t="n"/>
      <c r="H6" s="39" t="n"/>
      <c r="I6" s="39" t="n"/>
    </row>
    <row r="7" ht="19.5" customHeight="1">
      <c r="B7" s="7" t="inlineStr">
        <is>
          <t>Beginning Notes</t>
        </is>
      </c>
      <c r="D7" s="39" t="n"/>
      <c r="E7" s="39" t="n"/>
      <c r="F7" s="39" t="n"/>
      <c r="G7" s="39" t="n"/>
      <c r="H7" s="39" t="n"/>
      <c r="I7" s="39" t="n"/>
    </row>
    <row r="8" ht="19.5" customHeight="1">
      <c r="B8" s="7" t="inlineStr">
        <is>
          <t>Interest Expense</t>
        </is>
      </c>
      <c r="D8" s="39" t="n"/>
      <c r="E8" s="39" t="n"/>
      <c r="F8" s="39" t="n"/>
      <c r="G8" s="39" t="n"/>
      <c r="H8" s="39" t="n"/>
      <c r="I8" s="39" t="n"/>
    </row>
    <row r="9" ht="19.5" customHeight="1">
      <c r="B9" s="46" t="inlineStr">
        <is>
          <t>Mandatory Amortization</t>
        </is>
      </c>
      <c r="D9" s="39" t="n"/>
      <c r="E9" s="39" t="n"/>
      <c r="F9" s="39" t="n"/>
      <c r="G9" s="39" t="n"/>
      <c r="H9" s="39" t="n"/>
      <c r="I9" s="39" t="n"/>
    </row>
    <row r="10" ht="19.5" customHeight="1">
      <c r="B10" s="7" t="inlineStr">
        <is>
          <t>Sweep to Revolver</t>
        </is>
      </c>
      <c r="D10" s="39" t="n"/>
      <c r="E10" s="39" t="n"/>
      <c r="F10" s="39" t="n"/>
      <c r="G10" s="39" t="n"/>
      <c r="H10" s="39" t="n"/>
      <c r="I10" s="39" t="n"/>
    </row>
    <row r="11" ht="19.5" customHeight="1">
      <c r="B11" s="7" t="inlineStr">
        <is>
          <t>Sweep to TLB</t>
        </is>
      </c>
      <c r="D11" s="39" t="n"/>
      <c r="E11" s="39" t="n"/>
      <c r="F11" s="39" t="n"/>
      <c r="G11" s="39" t="n"/>
      <c r="H11" s="39" t="n"/>
      <c r="I11" s="39" t="n"/>
    </row>
    <row r="12" ht="19.5" customHeight="1">
      <c r="B12" s="7" t="inlineStr">
        <is>
          <t>Ending Revolver</t>
        </is>
      </c>
      <c r="D12" s="39" t="n"/>
      <c r="E12" s="39" t="n"/>
      <c r="F12" s="39" t="n"/>
      <c r="G12" s="39" t="n"/>
      <c r="H12" s="39" t="n"/>
      <c r="I12" s="39" t="n"/>
    </row>
    <row r="13" ht="19.5" customHeight="1">
      <c r="B13" s="7" t="inlineStr">
        <is>
          <t>Ending TLB</t>
        </is>
      </c>
      <c r="D13" s="39" t="n"/>
      <c r="E13" s="39" t="n"/>
      <c r="F13" s="39" t="n"/>
      <c r="G13" s="39" t="n"/>
      <c r="H13" s="39" t="n"/>
      <c r="I13" s="39" t="n"/>
    </row>
    <row r="14" ht="19.5" customHeight="1">
      <c r="B14" s="7" t="inlineStr">
        <is>
          <t>Ending Notes</t>
        </is>
      </c>
      <c r="D14" s="39" t="n"/>
      <c r="E14" s="39" t="n"/>
      <c r="F14" s="39" t="n"/>
      <c r="G14" s="39" t="n"/>
      <c r="H14" s="39" t="n"/>
      <c r="I14" s="39" t="n"/>
    </row>
    <row r="15" ht="19.5" customHeight="1">
      <c r="B15" s="7" t="inlineStr">
        <is>
          <t>Ending Total Debt</t>
        </is>
      </c>
      <c r="D15" s="39" t="n"/>
      <c r="E15" s="39" t="n"/>
      <c r="F15" s="39" t="n"/>
      <c r="G15" s="39" t="n"/>
      <c r="H15" s="39" t="n"/>
      <c r="I15" s="39" t="n"/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Returns Analysis</t>
        </is>
      </c>
      <c r="C2" s="44" t="n"/>
      <c r="D2" s="44" t="n"/>
      <c r="E2" s="44" t="n"/>
      <c r="F2" s="44" t="n"/>
      <c r="G2" s="44" t="n"/>
      <c r="H2" s="45" t="n"/>
    </row>
    <row r="3"/>
    <row r="4" ht="19.5" customHeight="1">
      <c r="B4" s="7" t="inlineStr">
        <is>
          <t>Sponsor Equity Invested</t>
        </is>
      </c>
      <c r="C4" s="39" t="n"/>
    </row>
    <row r="5" ht="19.5" customHeight="1">
      <c r="B5" s="7" t="inlineStr">
        <is>
          <t>Exit EBITDA</t>
        </is>
      </c>
      <c r="C5" s="39" t="n"/>
    </row>
    <row r="6" ht="19.5" customHeight="1">
      <c r="B6" s="7" t="inlineStr">
        <is>
          <t>Exit Multiple</t>
        </is>
      </c>
      <c r="C6" s="41" t="n"/>
    </row>
    <row r="7" ht="19.5" customHeight="1">
      <c r="B7" s="7" t="inlineStr">
        <is>
          <t>Exit Enterprise Value</t>
        </is>
      </c>
      <c r="C7" s="39" t="n"/>
    </row>
    <row r="8" ht="19.5" customHeight="1">
      <c r="B8" s="7" t="inlineStr">
        <is>
          <t>Less: Exit Debt</t>
        </is>
      </c>
      <c r="C8" s="39" t="n"/>
    </row>
    <row r="9" ht="19.5" customHeight="1">
      <c r="B9" s="7" t="inlineStr">
        <is>
          <t>Exit Equity Value</t>
        </is>
      </c>
      <c r="C9" s="39" t="n"/>
    </row>
    <row r="10" ht="19.5" customHeight="1">
      <c r="B10" s="7" t="inlineStr">
        <is>
          <t>MOIC</t>
        </is>
      </c>
      <c r="C10" s="41" t="n"/>
    </row>
    <row r="11" ht="19.5" customHeight="1">
      <c r="B11" s="7" t="inlineStr">
        <is>
          <t>5-Year IRR</t>
        </is>
      </c>
      <c r="C11" s="40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IRR Sensitivity</t>
        </is>
      </c>
      <c r="C2" s="44" t="n"/>
      <c r="D2" s="44" t="n"/>
      <c r="E2" s="44" t="n"/>
      <c r="F2" s="44" t="n"/>
      <c r="G2" s="44" t="n"/>
      <c r="H2" s="45" t="n"/>
    </row>
    <row r="3"/>
    <row r="4">
      <c r="D4" s="23" t="n">
        <v>4</v>
      </c>
      <c r="E4" s="23" t="n">
        <v>4.5</v>
      </c>
      <c r="F4" s="23" t="n">
        <v>5</v>
      </c>
      <c r="G4" s="23" t="n">
        <v>5.5</v>
      </c>
      <c r="H4" s="23" t="n">
        <v>6</v>
      </c>
    </row>
    <row r="5">
      <c r="B5" s="23" t="n">
        <v>7</v>
      </c>
      <c r="D5" s="19" t="n">
        <v>0.06415220941697641</v>
      </c>
      <c r="E5" s="19" t="n">
        <v>0.07229826012147056</v>
      </c>
      <c r="F5" s="19" t="n">
        <v>0.08284324408868105</v>
      </c>
      <c r="G5" s="19" t="n">
        <v>0.09704967872298376</v>
      </c>
      <c r="H5" s="19" t="n">
        <v>0.1172775988630468</v>
      </c>
    </row>
    <row r="6">
      <c r="B6" s="23" t="n">
        <v>7.5</v>
      </c>
      <c r="D6" s="19" t="n">
        <v>0.08650377312015389</v>
      </c>
      <c r="E6" s="19" t="n">
        <v>0.0970296227337013</v>
      </c>
      <c r="F6" s="19" t="n">
        <v>0.1105338648715846</v>
      </c>
      <c r="G6" s="19" t="n">
        <v>0.1285278729635697</v>
      </c>
      <c r="H6" s="19" t="n">
        <v>0.1537953316346015</v>
      </c>
    </row>
    <row r="7">
      <c r="B7" s="23" t="n">
        <v>8</v>
      </c>
      <c r="D7" s="19" t="n">
        <v>0.1071543762314502</v>
      </c>
      <c r="E7" s="19" t="n">
        <v>0.1197130989433217</v>
      </c>
      <c r="F7" s="19" t="n">
        <v>0.1357099200516627</v>
      </c>
      <c r="G7" s="19" t="n">
        <v>0.1568415029925665</v>
      </c>
      <c r="H7" s="19" t="n">
        <v>0.1862013115407704</v>
      </c>
    </row>
    <row r="8">
      <c r="B8" s="23" t="n">
        <v>8.5</v>
      </c>
      <c r="D8" s="19" t="n">
        <v>0.1263701688194867</v>
      </c>
      <c r="E8" s="19" t="n">
        <v>0.1406947499120204</v>
      </c>
      <c r="F8" s="19" t="n">
        <v>0.1588332922082725</v>
      </c>
      <c r="G8" s="19" t="n">
        <v>0.1826272639318558</v>
      </c>
      <c r="H8" s="19" t="n">
        <v>0.2154100801999719</v>
      </c>
    </row>
    <row r="9">
      <c r="B9" s="23" t="n">
        <v>9</v>
      </c>
      <c r="D9" s="19" t="n">
        <v>0.1443576633079224</v>
      </c>
      <c r="E9" s="19" t="n">
        <v>0.1602374155623114</v>
      </c>
      <c r="F9" s="19" t="n">
        <v>0.1802460088104849</v>
      </c>
      <c r="G9" s="19" t="n">
        <v>0.2063424378291592</v>
      </c>
      <c r="H9" s="19" t="n">
        <v>0.2420542190864254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LBO Output</t>
        </is>
      </c>
      <c r="C2" s="44" t="n"/>
      <c r="D2" s="44" t="n"/>
      <c r="E2" s="44" t="n"/>
      <c r="F2" s="44" t="n"/>
      <c r="G2" s="44" t="n"/>
      <c r="H2" s="45" t="n"/>
    </row>
    <row r="3"/>
    <row r="4" ht="19.5" customHeight="1">
      <c r="B4" s="7" t="inlineStr">
        <is>
          <t>Entry EV</t>
        </is>
      </c>
      <c r="C4" s="39" t="n"/>
    </row>
    <row r="5" ht="19.5" customHeight="1">
      <c r="B5" s="7" t="inlineStr">
        <is>
          <t>Sponsor Equity</t>
        </is>
      </c>
      <c r="C5" s="39" t="n"/>
    </row>
    <row r="6" ht="19.5" customHeight="1">
      <c r="B6" s="7" t="inlineStr">
        <is>
          <t>Exit Equity Value</t>
        </is>
      </c>
      <c r="C6" s="39" t="n"/>
    </row>
    <row r="7" ht="19.5" customHeight="1">
      <c r="B7" s="7" t="inlineStr">
        <is>
          <t>MOIC</t>
        </is>
      </c>
      <c r="C7" s="41" t="n"/>
    </row>
    <row r="8" ht="19.5" customHeight="1">
      <c r="B8" s="7" t="inlineStr">
        <is>
          <t>IRR</t>
        </is>
      </c>
      <c r="C8" s="40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44" t="n"/>
      <c r="D2" s="44" t="n"/>
      <c r="E2" s="44" t="n"/>
      <c r="F2" s="44" t="n"/>
      <c r="G2" s="44" t="n"/>
      <c r="H2" s="45" t="n"/>
    </row>
    <row r="3"/>
    <row r="4" ht="19.5" customHeight="1">
      <c r="B4" s="24" t="inlineStr">
        <is>
          <t>Check</t>
        </is>
      </c>
      <c r="C4" s="24" t="inlineStr">
        <is>
          <t>Status</t>
        </is>
      </c>
    </row>
    <row r="5" ht="19.5" customHeight="1">
      <c r="B5" s="25" t="inlineStr">
        <is>
          <t>Sources equal uses</t>
        </is>
      </c>
      <c r="C5" s="26">
        <f>IF(ABS(Transaction!C7-Transaction!F8)&lt;0.1,"OK","CHECK")</f>
        <v/>
      </c>
    </row>
    <row r="6" ht="19.5" customHeight="1">
      <c r="B6" s="27" t="inlineStr">
        <is>
          <t>Debt declines by exit year</t>
        </is>
      </c>
      <c r="C6" s="28">
        <f>IF(Debt_Schedule!I15&lt;Debt_Schedule!D15,"OK","CHECK")</f>
        <v/>
      </c>
    </row>
    <row r="7" ht="19.5" customHeight="1">
      <c r="B7" s="25" t="inlineStr">
        <is>
          <t>IRR output is numeric</t>
        </is>
      </c>
      <c r="C7" s="26">
        <f>IF(ISNUMBER(Returns!C11),"OK","CHECK")</f>
        <v/>
      </c>
    </row>
    <row r="8" ht="19.5" customHeight="1">
      <c r="B8" s="27" t="inlineStr">
        <is>
          <t>Operating case produces positive EBITDA every year</t>
        </is>
      </c>
      <c r="C8" s="28">
        <f>IF(MIN(Operating_Case!D8:I8)&gt;0,"OK","CHECK")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44" t="n"/>
      <c r="D2" s="44" t="n"/>
      <c r="E2" s="44" t="n"/>
      <c r="F2" s="44" t="n"/>
      <c r="G2" s="44" t="n"/>
      <c r="H2" s="45" t="n"/>
    </row>
    <row r="3"/>
    <row r="4" ht="19.5" customHeight="1">
      <c r="B4" s="12" t="inlineStr">
        <is>
          <t>Category</t>
        </is>
      </c>
      <c r="C4" s="12" t="inlineStr">
        <is>
          <t>Entity</t>
        </is>
      </c>
      <c r="D4" s="12" t="inlineStr">
        <is>
          <t>Document</t>
        </is>
      </c>
      <c r="E4" s="12" t="inlineStr">
        <is>
          <t>As of</t>
        </is>
      </c>
      <c r="F4" s="12" t="inlineStr">
        <is>
          <t>URL</t>
        </is>
      </c>
      <c r="G4" s="12" t="inlineStr">
        <is>
          <t>Local File</t>
        </is>
      </c>
      <c r="H4" s="12" t="inlineStr">
        <is>
          <t>Notes</t>
        </is>
      </c>
    </row>
    <row r="5" ht="33" customHeight="1">
      <c r="B5" s="25" t="inlineStr">
        <is>
          <t>LBO</t>
        </is>
      </c>
      <c r="C5" s="25" t="inlineStr">
        <is>
          <t>Dun &amp; Bradstreet</t>
        </is>
      </c>
      <c r="D5" s="25" t="inlineStr">
        <is>
          <t>2024 10-K</t>
        </is>
      </c>
      <c r="E5" s="29" t="inlineStr">
        <is>
          <t>2024-12-31</t>
        </is>
      </c>
      <c r="F5" s="29" t="inlineStr">
        <is>
          <t>https://www.sec.gov/Archives/edgar/data/1799208/000179920825000012/dnb-20241231.htm</t>
        </is>
      </c>
      <c r="G5" s="29" t="inlineStr">
        <is>
          <t>data/raw/reference_html/dnb_2024_10k.html</t>
        </is>
      </c>
      <c r="H5" s="29" t="inlineStr">
        <is>
          <t>Historical GAAP actuals and capital structure.</t>
        </is>
      </c>
    </row>
    <row r="6" ht="46.5" customHeight="1">
      <c r="B6" s="27" t="inlineStr">
        <is>
          <t>LBO</t>
        </is>
      </c>
      <c r="C6" s="27" t="inlineStr">
        <is>
          <t>Dun &amp; Bradstreet</t>
        </is>
      </c>
      <c r="D6" s="30" t="inlineStr">
        <is>
          <t>Q4 2024 Earnings Presentation</t>
        </is>
      </c>
      <c r="E6" s="30" t="inlineStr">
        <is>
          <t>2025-02-20</t>
        </is>
      </c>
      <c r="F6" s="30" t="inlineStr">
        <is>
          <t>https://www.sec.gov/Archives/edgar/data/1799208/000179920825000008/dbearningspresentationq4.htm</t>
        </is>
      </c>
      <c r="G6" s="30" t="inlineStr">
        <is>
          <t>data/raw/reference_html/dnb_2025_guidance.html</t>
        </is>
      </c>
      <c r="H6" s="30" t="inlineStr">
        <is>
          <t>Management 2025 revenue, EBITDA, D&amp;A, tax, and capex guidance.</t>
        </is>
      </c>
    </row>
    <row r="7" ht="33" customHeight="1">
      <c r="B7" s="25" t="inlineStr">
        <is>
          <t>LBO</t>
        </is>
      </c>
      <c r="C7" s="25" t="inlineStr">
        <is>
          <t>Dun &amp; Bradstreet</t>
        </is>
      </c>
      <c r="D7" s="25" t="inlineStr">
        <is>
          <t>Acquisition Announcement</t>
        </is>
      </c>
      <c r="E7" s="29" t="inlineStr">
        <is>
          <t>2025-03-24</t>
        </is>
      </c>
      <c r="F7" s="29" t="inlineStr">
        <is>
          <t>https://www.sec.gov/Archives/edgar/data/1799208/000110465925027293/tm2510133d1_ex99-1.htm</t>
        </is>
      </c>
      <c r="G7" s="29" t="inlineStr">
        <is>
          <t>data/raw/reference_html/dnb_deal_announcement.html</t>
        </is>
      </c>
      <c r="H7" s="29" t="inlineStr">
        <is>
          <t>Offer price and headline transaction valuation.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2026-04-23T17:34:14Z</dcterms:created>
  <dcterms:modified xsi:type="dcterms:W3CDTF">2026-04-23T18:33:16+00:00Z</dcterms:modified>
  <cp:lastModifiedBy>Jordan Mahmood</cp:lastModifiedBy>
</cp:coreProperties>
</file>