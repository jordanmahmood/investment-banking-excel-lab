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Instructions" sheetId="2" state="visible" r:id="rId2"/>
    <sheet xmlns:r="http://schemas.openxmlformats.org/officeDocument/2006/relationships" name="Transaction" sheetId="3" state="visible" r:id="rId3"/>
    <sheet xmlns:r="http://schemas.openxmlformats.org/officeDocument/2006/relationships" name="Operating_Case" sheetId="4" state="visible" r:id="rId4"/>
    <sheet xmlns:r="http://schemas.openxmlformats.org/officeDocument/2006/relationships" name="Debt_Schedule" sheetId="5" state="visible" r:id="rId5"/>
    <sheet xmlns:r="http://schemas.openxmlformats.org/officeDocument/2006/relationships" name="Returns" sheetId="6" state="visible" r:id="rId6"/>
    <sheet xmlns:r="http://schemas.openxmlformats.org/officeDocument/2006/relationships" name="Sensitivities" sheetId="7" state="visible" r:id="rId7"/>
    <sheet xmlns:r="http://schemas.openxmlformats.org/officeDocument/2006/relationships" name="Output" sheetId="8" state="visible" r:id="rId8"/>
    <sheet xmlns:r="http://schemas.openxmlformats.org/officeDocument/2006/relationships" name="Checks" sheetId="9" state="visible" r:id="rId9"/>
    <sheet xmlns:r="http://schemas.openxmlformats.org/officeDocument/2006/relationships" name="Source_Notes" sheetId="10" state="visible" r:id="rId10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0.0%"/>
    <numFmt numFmtId="166" formatCode="0.00x"/>
    <numFmt numFmtId="167" formatCode="0.0x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b val="1"/>
      <color rgb="001E3A5F"/>
      <sz val="11"/>
    </font>
    <font>
      <name val="Calibri"/>
      <color rgb="001F2937"/>
      <sz val="10"/>
    </font>
    <font>
      <name val="Calibri"/>
      <b val="1"/>
      <color rgb="00FFFFFF"/>
      <sz val="14"/>
    </font>
    <font>
      <name val="Calibri"/>
      <b val="1"/>
      <color rgb="001F2937"/>
      <sz val="10"/>
    </font>
    <font>
      <name val="Calibri"/>
      <b val="1"/>
      <color rgb="000000FF"/>
      <sz val="10"/>
    </font>
    <font>
      <name val="Calibri"/>
      <b val="1"/>
      <color rgb="00FFFFFF"/>
      <sz val="10"/>
    </font>
    <font>
      <name val="Calibri"/>
      <b val="1"/>
      <color rgb="00FFFFFF"/>
      <sz val="12"/>
    </font>
  </fonts>
  <fills count="7">
    <fill>
      <patternFill/>
    </fill>
    <fill>
      <patternFill patternType="gray125"/>
    </fill>
    <fill>
      <patternFill patternType="solid">
        <fgColor rgb="0010253F"/>
      </patternFill>
    </fill>
    <fill>
      <patternFill patternType="solid">
        <fgColor rgb="00DDEBF7"/>
      </patternFill>
    </fill>
    <fill>
      <patternFill patternType="solid">
        <fgColor rgb="00EEF2F7"/>
      </patternFill>
    </fill>
    <fill>
      <patternFill patternType="solid">
        <fgColor rgb="00FFFFFF"/>
      </patternFill>
    </fill>
    <fill>
      <patternFill patternType="solid">
        <fgColor rgb="001E3A5F"/>
      </patternFill>
    </fill>
  </fills>
  <borders count="11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  <border>
      <left/>
      <right/>
      <top style="thin">
        <color rgb="00D9E2F3"/>
      </top>
      <bottom/>
      <diagonal/>
    </border>
    <border>
      <left/>
      <right style="thin">
        <color rgb="00D9E2F3"/>
      </right>
      <top style="thin">
        <color rgb="00D9E2F3"/>
      </top>
      <bottom/>
      <diagonal/>
    </border>
    <border>
      <left/>
      <right/>
      <top style="thin">
        <color rgb="00D9E2F3"/>
      </top>
      <bottom style="thin">
        <color rgb="00D9E2F3"/>
      </bottom>
      <diagonal/>
    </border>
    <border>
      <left/>
      <right style="thin">
        <color rgb="00D9E2F3"/>
      </right>
      <top style="thin">
        <color rgb="00D9E2F3"/>
      </top>
      <bottom style="thin">
        <color rgb="00D9E2F3"/>
      </bottom>
      <diagonal/>
    </border>
    <border>
      <left style="thin">
        <color rgb="00D9E2F3"/>
      </left>
      <right/>
      <top/>
      <bottom/>
      <diagonal/>
    </border>
    <border>
      <left/>
      <right style="thin">
        <color rgb="00D9E2F3"/>
      </right>
      <top/>
      <bottom/>
      <diagonal/>
    </border>
    <border>
      <left style="thin">
        <color rgb="00D9E2F3"/>
      </left>
      <right/>
      <top/>
      <bottom style="thin">
        <color rgb="00D9E2F3"/>
      </bottom>
      <diagonal/>
    </border>
    <border>
      <left/>
      <right/>
      <top/>
      <bottom style="thin">
        <color rgb="00D9E2F3"/>
      </bottom>
      <diagonal/>
    </border>
    <border>
      <left/>
      <right style="thin">
        <color rgb="00D9E2F3"/>
      </right>
      <top/>
      <bottom style="thin">
        <color rgb="00D9E2F3"/>
      </bottom>
      <diagonal/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2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/>
    </xf>
    <xf numFmtId="164" fontId="5" fillId="5" borderId="1" applyAlignment="1" pivotButton="0" quotePrefix="0" xfId="0">
      <alignment horizontal="center" vertical="center"/>
    </xf>
    <xf numFmtId="164" fontId="6" fillId="3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left" vertical="center"/>
    </xf>
    <xf numFmtId="165" fontId="6" fillId="3" borderId="1" applyAlignment="1" pivotButton="0" quotePrefix="0" xfId="0">
      <alignment horizontal="center" vertical="center"/>
    </xf>
    <xf numFmtId="166" fontId="6" fillId="3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164" fontId="3" fillId="5" borderId="1" applyAlignment="1" pivotButton="0" quotePrefix="0" xfId="0">
      <alignment horizontal="center" vertical="center"/>
    </xf>
    <xf numFmtId="164" fontId="3" fillId="4" borderId="1" applyAlignment="1" pivotButton="0" quotePrefix="0" xfId="0">
      <alignment horizontal="center" vertical="center"/>
    </xf>
    <xf numFmtId="165" fontId="3" fillId="5" borderId="1" applyAlignment="1" pivotButton="0" quotePrefix="0" xfId="0">
      <alignment horizontal="center" vertical="center"/>
    </xf>
    <xf numFmtId="0" fontId="8" fillId="2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3" fillId="4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left" vertical="center"/>
    </xf>
    <xf numFmtId="164" fontId="3" fillId="5" borderId="1" applyAlignment="1" pivotButton="0" quotePrefix="0" xfId="0">
      <alignment horizontal="left" vertical="center"/>
    </xf>
    <xf numFmtId="164" fontId="3" fillId="4" borderId="1" applyAlignment="1" pivotButton="0" quotePrefix="0" xfId="0">
      <alignment horizontal="left" vertical="center"/>
    </xf>
    <xf numFmtId="164" fontId="0" fillId="0" borderId="0" pivotButton="0" quotePrefix="0" xfId="0"/>
    <xf numFmtId="166" fontId="5" fillId="5" borderId="1" applyAlignment="1" pivotButton="0" quotePrefix="0" xfId="0">
      <alignment horizontal="center" vertical="center"/>
    </xf>
    <xf numFmtId="165" fontId="5" fillId="5" borderId="1" applyAlignment="1" pivotButton="0" quotePrefix="0" xfId="0">
      <alignment horizontal="center" vertical="center"/>
    </xf>
    <xf numFmtId="167" fontId="7" fillId="6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0" fillId="0" borderId="2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2" fillId="0" borderId="0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2">
    <dxf>
      <fill>
        <patternFill patternType="solid">
          <fgColor rgb="00E2F0D9"/>
        </patternFill>
      </fill>
    </dxf>
    <dxf>
      <fill>
        <patternFill patternType="solid">
          <fgColor rgb="00FDE9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Debt Paydown</a:t>
            </a:r>
          </a:p>
        </rich>
      </tx>
    </title>
    <plotArea>
      <lineChart>
        <grouping val="standard"/>
        <ser>
          <idx val="0"/>
          <order val="0"/>
          <tx>
            <strRef>
              <f>'Debt_Schedule'!M4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'Debt_Schedule'!$B$5:$B$10</f>
            </numRef>
          </cat>
          <val>
            <numRef>
              <f>'Debt_Schedule'!$M$5:$M$10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9</row>
      <rowOff>0</rowOff>
    </from>
    <ext cx="432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9"/>
  <sheetViews>
    <sheetView showGridLines="0" tabSelected="1" workbookViewId="0">
      <selection activeCell="A1" sqref="A1"/>
    </sheetView>
  </sheetViews>
  <sheetFormatPr baseColWidth="8" defaultRowHeight="15"/>
  <cols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/>
    <row r="2" ht="30.5" customHeight="1">
      <c r="B2" s="1" t="inlineStr">
        <is>
          <t>Dun &amp; Bradstreet LBO Model</t>
        </is>
      </c>
      <c r="C2" s="32" t="n"/>
      <c r="D2" s="32" t="n"/>
      <c r="E2" s="32" t="n"/>
      <c r="F2" s="32" t="n"/>
      <c r="G2" s="32" t="n"/>
      <c r="H2" s="33" t="n"/>
    </row>
    <row r="3" ht="20" customHeight="1">
      <c r="B3" s="34" t="n"/>
      <c r="H3" s="35" t="n"/>
    </row>
    <row r="4" ht="20" customHeight="1">
      <c r="B4" s="36" t="n"/>
      <c r="C4" s="37" t="n"/>
      <c r="D4" s="37" t="n"/>
      <c r="E4" s="37" t="n"/>
      <c r="F4" s="37" t="n"/>
      <c r="G4" s="37" t="n"/>
      <c r="H4" s="38" t="n"/>
    </row>
    <row r="5" ht="24" customHeight="1">
      <c r="B5" s="39" t="inlineStr">
        <is>
          <t>Real announced take-private case anchored to March 24, 2025 deal terms and 2025 management guidance.</t>
        </is>
      </c>
    </row>
    <row r="6" ht="20" customHeight="1"/>
    <row r="7" ht="24" customHeight="1">
      <c r="B7" s="6" t="inlineStr">
        <is>
          <t>• Transaction terms use the announced $9.15 offer price and headline EV context from the acquisition press release.</t>
        </is>
      </c>
    </row>
    <row r="8" ht="24" customHeight="1">
      <c r="B8" s="6" t="inlineStr">
        <is>
          <t>• Operating case uses 2025 management guidance and clearly labeled debt-market assumptions for the new sponsor capital stack.</t>
        </is>
      </c>
    </row>
    <row r="9" ht="24" customHeight="1">
      <c r="B9" s="6" t="inlineStr">
        <is>
          <t>• Returns are shown through MOIC, IRR, debt paydown, and sensitivity tables.</t>
        </is>
      </c>
    </row>
    <row r="10" ht="20" customHeight="1"/>
    <row r="11" ht="20" customHeight="1"/>
  </sheetData>
  <mergeCells count="5">
    <mergeCell ref="B8:H8"/>
    <mergeCell ref="B9:H9"/>
    <mergeCell ref="B7:H7"/>
    <mergeCell ref="B2:H4"/>
    <mergeCell ref="B5:H5"/>
  </mergeCells>
  <pageMargins left="0.35" right="0.35" top="0.5" bottom="0.5" header="0.5" footer="0.5"/>
  <pageSetup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8"/>
  <sheetViews>
    <sheetView showGridLines="0" workbookViewId="0">
      <selection activeCell="A1" sqref="A1"/>
    </sheetView>
  </sheetViews>
  <sheetFormatPr baseColWidth="8" defaultRowHeight="15"/>
  <cols>
    <col width="6" customWidth="1" min="2" max="2"/>
    <col width="110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/>
    <row r="2" ht="25" customHeight="1">
      <c r="B2" s="4" t="inlineStr">
        <is>
          <t>Model Sequence</t>
        </is>
      </c>
      <c r="C2" s="18" t="n"/>
      <c r="D2" s="18" t="n"/>
      <c r="E2" s="18" t="n"/>
      <c r="F2" s="18" t="n"/>
      <c r="G2" s="18" t="n"/>
      <c r="H2" s="19" t="n"/>
    </row>
    <row r="3"/>
    <row r="4" ht="19.5" customHeight="1">
      <c r="B4" s="5" t="n">
        <v>1</v>
      </c>
      <c r="C4" s="6" t="inlineStr">
        <is>
          <t>Start with Transaction for uses, sources, and financing assumptions.</t>
        </is>
      </c>
    </row>
    <row r="5"/>
    <row r="6" ht="19.5" customHeight="1">
      <c r="B6" s="5" t="n">
        <v>2</v>
      </c>
      <c r="C6" s="6" t="inlineStr">
        <is>
          <t>Review Operating_Case before moving into Debt_Schedule and Returns.</t>
        </is>
      </c>
    </row>
    <row r="7"/>
    <row r="8" ht="19.5" customHeight="1">
      <c r="B8" s="5" t="n">
        <v>3</v>
      </c>
      <c r="C8" s="6" t="inlineStr">
        <is>
          <t>Sensitivity outputs assume a 5-year hold and vary exit multiple and entry leverage.</t>
        </is>
      </c>
    </row>
  </sheetData>
  <mergeCells count="1">
    <mergeCell ref="B2:H2"/>
  </mergeCells>
  <pageMargins left="0.35" right="0.35" top="0.5" bottom="0.5" header="0.5" footer="0.5"/>
  <pageSetup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I9"/>
  <sheetViews>
    <sheetView showGridLines="0" workbookViewId="0">
      <selection activeCell="A1" sqref="A1"/>
    </sheetView>
  </sheetViews>
  <sheetFormatPr baseColWidth="8" defaultRowHeight="15"/>
  <cols>
    <col width="22" customWidth="1" min="2" max="2"/>
    <col width="14" customWidth="1" min="3" max="3"/>
    <col width="13" customWidth="1" min="4" max="4"/>
    <col width="22" customWidth="1" min="5" max="5"/>
    <col width="14" customWidth="1" min="6" max="6"/>
    <col width="13" customWidth="1" min="7" max="7"/>
    <col width="22" customWidth="1" min="8" max="8"/>
    <col width="14" customWidth="1" min="9" max="9"/>
  </cols>
  <sheetData>
    <row r="1"/>
    <row r="2" ht="25" customHeight="1">
      <c r="B2" s="4" t="inlineStr">
        <is>
          <t>Sources &amp; Uses ($mm)</t>
        </is>
      </c>
      <c r="C2" s="18" t="n"/>
      <c r="D2" s="18" t="n"/>
      <c r="E2" s="18" t="n"/>
      <c r="F2" s="18" t="n"/>
      <c r="G2" s="18" t="n"/>
      <c r="H2" s="18" t="n"/>
      <c r="I2" s="19" t="n"/>
    </row>
    <row r="3"/>
    <row r="4" ht="19.5" customHeight="1">
      <c r="B4" s="7" t="inlineStr">
        <is>
          <t>Equity Purchase</t>
        </is>
      </c>
      <c r="C4" s="8" t="n">
        <v>4039.874776350001</v>
      </c>
      <c r="E4" s="7" t="inlineStr">
        <is>
          <t>Revolver</t>
        </is>
      </c>
      <c r="F4" s="9" t="n">
        <v>300</v>
      </c>
      <c r="H4" s="10" t="inlineStr">
        <is>
          <t>Debt Assumptions</t>
        </is>
      </c>
    </row>
    <row r="5" ht="19.5" customHeight="1">
      <c r="B5" s="7" t="inlineStr">
        <is>
          <t>Debt Refinancing</t>
        </is>
      </c>
      <c r="C5" s="8" t="n">
        <v>3497.7</v>
      </c>
      <c r="E5" s="7" t="inlineStr">
        <is>
          <t>Term Loan B</t>
        </is>
      </c>
      <c r="F5" s="9" t="n">
        <v>3200</v>
      </c>
      <c r="H5" s="7" t="inlineStr">
        <is>
          <t>Revolver Rate</t>
        </is>
      </c>
      <c r="I5" s="11" t="n">
        <v>0.07099999999999999</v>
      </c>
    </row>
    <row r="6" ht="19.5" customHeight="1">
      <c r="B6" s="7" t="inlineStr">
        <is>
          <t>Fees &amp; Expenses</t>
        </is>
      </c>
      <c r="C6" s="8" t="n">
        <v>161.9</v>
      </c>
      <c r="E6" s="7" t="inlineStr">
        <is>
          <t>Senior Notes</t>
        </is>
      </c>
      <c r="F6" s="9" t="n">
        <v>1200</v>
      </c>
      <c r="H6" s="7" t="inlineStr">
        <is>
          <t>TLB Rate</t>
        </is>
      </c>
      <c r="I6" s="11" t="n">
        <v>0.076</v>
      </c>
    </row>
    <row r="7" ht="19.5" customHeight="1">
      <c r="B7" s="7" t="inlineStr">
        <is>
          <t>Total Uses</t>
        </is>
      </c>
      <c r="C7" s="8" t="n">
        <v>7699.47477635</v>
      </c>
      <c r="E7" s="7" t="inlineStr">
        <is>
          <t>Sponsor Equity</t>
        </is>
      </c>
      <c r="F7" s="9" t="n">
        <v>2999.47477635</v>
      </c>
      <c r="H7" s="7" t="inlineStr">
        <is>
          <t>Senior Notes Rate</t>
        </is>
      </c>
      <c r="I7" s="11" t="n">
        <v>0.08500000000000001</v>
      </c>
    </row>
    <row r="8" ht="19.5" customHeight="1">
      <c r="E8" s="7" t="inlineStr">
        <is>
          <t>Total Sources</t>
        </is>
      </c>
      <c r="F8" s="8" t="n">
        <v>7699.47477635</v>
      </c>
      <c r="H8" s="7" t="inlineStr">
        <is>
          <t>Exit Multiple</t>
        </is>
      </c>
      <c r="I8" s="12" t="n">
        <v>8</v>
      </c>
    </row>
    <row r="9" ht="19.5" customHeight="1">
      <c r="B9" s="7" t="inlineStr">
        <is>
          <t>Headline Entry EV</t>
        </is>
      </c>
      <c r="C9" s="8" t="n">
        <v>7700</v>
      </c>
    </row>
  </sheetData>
  <mergeCells count="1">
    <mergeCell ref="B2:I2"/>
  </mergeCells>
  <pageMargins left="0.35" right="0.35" top="0.5" bottom="0.5" header="0.5" footer="0.5"/>
  <pageSetup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I13"/>
  <sheetViews>
    <sheetView showGridLines="0" workbookViewId="0">
      <selection activeCell="A1" sqref="A1"/>
    </sheetView>
  </sheetViews>
  <sheetFormatPr baseColWidth="8" defaultRowHeight="15"/>
  <cols>
    <col width="24" customWidth="1" min="2" max="2"/>
    <col width="13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/>
    <row r="2" ht="25" customHeight="1">
      <c r="B2" s="4" t="inlineStr">
        <is>
          <t>Operating Case ($mm)</t>
        </is>
      </c>
      <c r="C2" s="18" t="n"/>
      <c r="D2" s="18" t="n"/>
      <c r="E2" s="18" t="n"/>
      <c r="F2" s="18" t="n"/>
      <c r="G2" s="18" t="n"/>
      <c r="H2" s="18" t="n"/>
      <c r="I2" s="19" t="n"/>
    </row>
    <row r="3"/>
    <row r="4">
      <c r="D4" s="13" t="n">
        <v>2025</v>
      </c>
      <c r="E4" s="13" t="n">
        <v>2026</v>
      </c>
      <c r="F4" s="13" t="n">
        <v>2027</v>
      </c>
      <c r="G4" s="13" t="n">
        <v>2028</v>
      </c>
      <c r="H4" s="13" t="n">
        <v>2029</v>
      </c>
      <c r="I4" s="13" t="n">
        <v>2030</v>
      </c>
    </row>
    <row r="5" ht="19.5" customHeight="1">
      <c r="B5" s="7" t="inlineStr">
        <is>
          <t>Revenue</t>
        </is>
      </c>
      <c r="D5" s="14" t="n">
        <v>2470</v>
      </c>
      <c r="E5" s="14" t="n">
        <v>2549.04</v>
      </c>
      <c r="F5" s="14" t="n">
        <v>2622.96216</v>
      </c>
      <c r="G5" s="14" t="n">
        <v>2691.15917616</v>
      </c>
      <c r="H5" s="14" t="n">
        <v>2758.438155564</v>
      </c>
      <c r="I5" s="14" t="n">
        <v>2819.123794986408</v>
      </c>
    </row>
    <row r="6" ht="19.5" customHeight="1">
      <c r="B6" s="7" t="inlineStr">
        <is>
          <t>EBITDA</t>
        </is>
      </c>
      <c r="D6" s="15" t="n">
        <v>970</v>
      </c>
      <c r="E6" s="15" t="n">
        <v>1009.41984</v>
      </c>
      <c r="F6" s="15" t="n">
        <v>1046.56190184</v>
      </c>
      <c r="G6" s="15" t="n">
        <v>1079.15482964016</v>
      </c>
      <c r="H6" s="15" t="n">
        <v>1111.650576692292</v>
      </c>
      <c r="I6" s="15" t="n">
        <v>1141.745136969495</v>
      </c>
    </row>
    <row r="7" ht="19.5" customHeight="1">
      <c r="B7" s="7" t="inlineStr">
        <is>
          <t>EBITDA Margin</t>
        </is>
      </c>
      <c r="D7" s="16" t="n">
        <v>0.3927125506072874</v>
      </c>
      <c r="E7" s="16" t="n">
        <v>0.396</v>
      </c>
      <c r="F7" s="16" t="n">
        <v>0.399</v>
      </c>
      <c r="G7" s="16" t="n">
        <v>0.401</v>
      </c>
      <c r="H7" s="16" t="n">
        <v>0.403</v>
      </c>
      <c r="I7" s="16" t="n">
        <v>0.405</v>
      </c>
    </row>
    <row r="8" ht="19.5" customHeight="1">
      <c r="B8" s="7" t="inlineStr">
        <is>
          <t>D&amp;A</t>
        </is>
      </c>
      <c r="D8" s="15" t="n">
        <v>165</v>
      </c>
      <c r="E8" s="15" t="n">
        <v>168</v>
      </c>
      <c r="F8" s="15" t="n">
        <v>170</v>
      </c>
      <c r="G8" s="15" t="n">
        <v>172</v>
      </c>
      <c r="H8" s="15" t="n">
        <v>175</v>
      </c>
      <c r="I8" s="15" t="n">
        <v>177</v>
      </c>
    </row>
    <row r="9" ht="19.5" customHeight="1">
      <c r="B9" s="7" t="inlineStr">
        <is>
          <t>EBIT</t>
        </is>
      </c>
      <c r="D9" s="14" t="n">
        <v>805</v>
      </c>
      <c r="E9" s="14" t="n">
        <v>841.41984</v>
      </c>
      <c r="F9" s="14" t="n">
        <v>876.56190184</v>
      </c>
      <c r="G9" s="14" t="n">
        <v>907.1548296401601</v>
      </c>
      <c r="H9" s="14" t="n">
        <v>936.650576692292</v>
      </c>
      <c r="I9" s="14" t="n">
        <v>964.7451369694953</v>
      </c>
    </row>
    <row r="10" ht="19.5" customHeight="1">
      <c r="B10" s="7" t="inlineStr">
        <is>
          <t>Cash Taxes</t>
        </is>
      </c>
      <c r="D10" s="15" t="n">
        <v>181.125</v>
      </c>
      <c r="E10" s="15" t="n">
        <v>189.319464</v>
      </c>
      <c r="F10" s="15" t="n">
        <v>197.226427914</v>
      </c>
      <c r="G10" s="15" t="n">
        <v>204.109836669036</v>
      </c>
      <c r="H10" s="15" t="n">
        <v>210.7463797557657</v>
      </c>
      <c r="I10" s="15" t="n">
        <v>217.0676558181364</v>
      </c>
    </row>
    <row r="11" ht="19.5" customHeight="1">
      <c r="B11" s="7" t="inlineStr">
        <is>
          <t>Capex</t>
        </is>
      </c>
      <c r="D11" s="14" t="n">
        <v>195</v>
      </c>
      <c r="E11" s="14" t="n">
        <v>193</v>
      </c>
      <c r="F11" s="14" t="n">
        <v>192</v>
      </c>
      <c r="G11" s="14" t="n">
        <v>190</v>
      </c>
      <c r="H11" s="14" t="n">
        <v>188</v>
      </c>
      <c r="I11" s="14" t="n">
        <v>185</v>
      </c>
    </row>
    <row r="12" ht="19.5" customHeight="1">
      <c r="B12" s="7" t="inlineStr">
        <is>
          <t>Change in NWC</t>
        </is>
      </c>
      <c r="D12" s="15" t="n">
        <v>0</v>
      </c>
      <c r="E12" s="15" t="n">
        <v>0.3952</v>
      </c>
      <c r="F12" s="15" t="n">
        <v>0.3696108</v>
      </c>
      <c r="G12" s="15" t="n">
        <v>0.3409850807999992</v>
      </c>
      <c r="H12" s="15" t="n">
        <v>0.336394897019999</v>
      </c>
      <c r="I12" s="15" t="n">
        <v>0.3034281971120406</v>
      </c>
    </row>
    <row r="13" ht="19.5" customHeight="1">
      <c r="B13" s="7" t="inlineStr">
        <is>
          <t>Pre-Interest FCF</t>
        </is>
      </c>
      <c r="D13" s="14" t="n">
        <v>593.875</v>
      </c>
      <c r="E13" s="14" t="n">
        <v>626.7051760000001</v>
      </c>
      <c r="F13" s="14" t="n">
        <v>656.965863126</v>
      </c>
      <c r="G13" s="14" t="n">
        <v>684.704007890324</v>
      </c>
      <c r="H13" s="14" t="n">
        <v>712.5678020395063</v>
      </c>
      <c r="I13" s="14" t="n">
        <v>739.3740529542467</v>
      </c>
    </row>
  </sheetData>
  <mergeCells count="1">
    <mergeCell ref="B2:I2"/>
  </mergeCells>
  <pageMargins left="0.35" right="0.35" top="0.5" bottom="0.5" header="0.5" footer="0.5"/>
  <pageSetup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M10"/>
  <sheetViews>
    <sheetView showGridLines="0" workbookViewId="0">
      <selection activeCell="A1" sqref="A1"/>
    </sheetView>
  </sheetViews>
  <sheetFormatPr baseColWidth="8" defaultRowHeight="15"/>
  <cols>
    <col width="1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/>
    <row r="2" ht="22.5" customHeight="1">
      <c r="B2" s="17" t="inlineStr">
        <is>
          <t>Debt Rollforward</t>
        </is>
      </c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9" t="n"/>
    </row>
    <row r="3" ht="33" customHeight="1">
      <c r="B3" s="13" t="inlineStr">
        <is>
          <t>Year</t>
        </is>
      </c>
      <c r="C3" s="40" t="inlineStr">
        <is>
          <t>Beg. Revolver</t>
        </is>
      </c>
      <c r="D3" s="13" t="inlineStr">
        <is>
          <t>Beg. TLB</t>
        </is>
      </c>
      <c r="E3" s="13" t="inlineStr">
        <is>
          <t>Beg. Notes</t>
        </is>
      </c>
      <c r="F3" s="40" t="inlineStr">
        <is>
          <t>Interest Expense</t>
        </is>
      </c>
      <c r="G3" s="40" t="inlineStr">
        <is>
          <t>Mandatory Amort.</t>
        </is>
      </c>
      <c r="H3" s="40" t="inlineStr">
        <is>
          <t>Sweep to Revolver</t>
        </is>
      </c>
      <c r="I3" s="13" t="inlineStr">
        <is>
          <t>Sweep to TLB</t>
        </is>
      </c>
      <c r="J3" s="13" t="inlineStr">
        <is>
          <t>End Revolver</t>
        </is>
      </c>
      <c r="K3" s="13" t="inlineStr">
        <is>
          <t>End TLB</t>
        </is>
      </c>
      <c r="L3" s="13" t="inlineStr">
        <is>
          <t>End Notes</t>
        </is>
      </c>
      <c r="M3" s="40" t="inlineStr">
        <is>
          <t>End Total Debt</t>
        </is>
      </c>
    </row>
    <row r="4">
      <c r="B4" s="20" t="n">
        <v>2025</v>
      </c>
      <c r="C4" s="20" t="n">
        <v>300</v>
      </c>
      <c r="D4" s="20" t="n">
        <v>3200</v>
      </c>
      <c r="E4" s="20" t="n">
        <v>1200</v>
      </c>
      <c r="F4" s="20" t="n">
        <v>366.5</v>
      </c>
      <c r="G4" s="20" t="n">
        <v>32</v>
      </c>
      <c r="H4" s="20" t="n">
        <v>195.375</v>
      </c>
      <c r="I4" s="20" t="n">
        <v>0</v>
      </c>
      <c r="J4" s="20" t="n">
        <v>104.625</v>
      </c>
      <c r="K4" s="20" t="n">
        <v>3168</v>
      </c>
      <c r="L4" s="20" t="n">
        <v>1200</v>
      </c>
      <c r="M4" s="20" t="n">
        <v>4472.625</v>
      </c>
    </row>
    <row r="5">
      <c r="B5" s="21" t="n">
        <v>2026</v>
      </c>
      <c r="C5" s="22" t="n">
        <v>104.625</v>
      </c>
      <c r="D5" s="22" t="n">
        <v>3168</v>
      </c>
      <c r="E5" s="22" t="n">
        <v>1200</v>
      </c>
      <c r="F5" s="22" t="n">
        <v>350.196375</v>
      </c>
      <c r="G5" s="22" t="n">
        <v>32</v>
      </c>
      <c r="H5" s="22" t="n">
        <v>104.625</v>
      </c>
      <c r="I5" s="22" t="n">
        <v>139.883801</v>
      </c>
      <c r="J5" s="22" t="n">
        <v>0</v>
      </c>
      <c r="K5" s="22" t="n">
        <v>2996.116199</v>
      </c>
      <c r="L5" s="22" t="n">
        <v>1200</v>
      </c>
      <c r="M5" s="22" t="n">
        <v>4196.116199</v>
      </c>
    </row>
    <row r="6">
      <c r="B6" s="20" t="n">
        <v>2027</v>
      </c>
      <c r="C6" s="23" t="n">
        <v>0</v>
      </c>
      <c r="D6" s="23" t="n">
        <v>2996.116199</v>
      </c>
      <c r="E6" s="23" t="n">
        <v>1200</v>
      </c>
      <c r="F6" s="23" t="n">
        <v>329.704831124</v>
      </c>
      <c r="G6" s="23" t="n">
        <v>32</v>
      </c>
      <c r="H6" s="23" t="n">
        <v>0</v>
      </c>
      <c r="I6" s="23" t="n">
        <v>295.2610320020001</v>
      </c>
      <c r="J6" s="23" t="n">
        <v>0</v>
      </c>
      <c r="K6" s="23" t="n">
        <v>2668.855166998</v>
      </c>
      <c r="L6" s="23" t="n">
        <v>1200</v>
      </c>
      <c r="M6" s="23" t="n">
        <v>3868.855166998</v>
      </c>
    </row>
    <row r="7">
      <c r="B7" s="21" t="n">
        <v>2028</v>
      </c>
      <c r="C7" s="22" t="n">
        <v>0</v>
      </c>
      <c r="D7" s="22" t="n">
        <v>2668.855166998</v>
      </c>
      <c r="E7" s="22" t="n">
        <v>1200</v>
      </c>
      <c r="F7" s="22" t="n">
        <v>304.8329926918481</v>
      </c>
      <c r="G7" s="22" t="n">
        <v>32</v>
      </c>
      <c r="H7" s="22" t="n">
        <v>0</v>
      </c>
      <c r="I7" s="22" t="n">
        <v>347.871015198476</v>
      </c>
      <c r="J7" s="22" t="n">
        <v>0</v>
      </c>
      <c r="K7" s="22" t="n">
        <v>2288.984151799524</v>
      </c>
      <c r="L7" s="22" t="n">
        <v>1200</v>
      </c>
      <c r="M7" s="22" t="n">
        <v>3488.984151799524</v>
      </c>
    </row>
    <row r="8">
      <c r="B8" s="20" t="n">
        <v>2029</v>
      </c>
      <c r="C8" s="23" t="n">
        <v>0</v>
      </c>
      <c r="D8" s="23" t="n">
        <v>2288.984151799524</v>
      </c>
      <c r="E8" s="23" t="n">
        <v>1200</v>
      </c>
      <c r="F8" s="23" t="n">
        <v>275.9627955367638</v>
      </c>
      <c r="G8" s="23" t="n">
        <v>32</v>
      </c>
      <c r="H8" s="23" t="n">
        <v>0</v>
      </c>
      <c r="I8" s="23" t="n">
        <v>404.6050065027425</v>
      </c>
      <c r="J8" s="23" t="n">
        <v>0</v>
      </c>
      <c r="K8" s="23" t="n">
        <v>1852.379145296782</v>
      </c>
      <c r="L8" s="23" t="n">
        <v>1200</v>
      </c>
      <c r="M8" s="23" t="n">
        <v>3052.379145296782</v>
      </c>
    </row>
    <row r="9">
      <c r="B9" s="21" t="n">
        <v>2030</v>
      </c>
      <c r="C9" s="22" t="n">
        <v>0</v>
      </c>
      <c r="D9" s="22" t="n">
        <v>1852.379145296782</v>
      </c>
      <c r="E9" s="22" t="n">
        <v>1200</v>
      </c>
      <c r="F9" s="22" t="n">
        <v>242.7808150425554</v>
      </c>
      <c r="G9" s="22" t="n">
        <v>32</v>
      </c>
      <c r="H9" s="22" t="n">
        <v>0</v>
      </c>
      <c r="I9" s="22" t="n">
        <v>464.5932379116913</v>
      </c>
      <c r="J9" s="22" t="n">
        <v>0</v>
      </c>
      <c r="K9" s="22" t="n">
        <v>1355.78590738509</v>
      </c>
      <c r="L9" s="22" t="n">
        <v>1200</v>
      </c>
      <c r="M9" s="22" t="n">
        <v>2555.78590738509</v>
      </c>
    </row>
    <row r="10"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</row>
  </sheetData>
  <mergeCells count="1">
    <mergeCell ref="B2:M2"/>
  </mergeCells>
  <pageMargins left="0.35" right="0.35" top="0.5" bottom="0.5" header="0.5" footer="0.5"/>
  <pageSetup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H11"/>
  <sheetViews>
    <sheetView showGridLines="0" workbookViewId="0">
      <selection activeCell="A1" sqref="A1"/>
    </sheetView>
  </sheetViews>
  <sheetFormatPr baseColWidth="8" defaultRowHeight="15"/>
  <cols>
    <col width="26" customWidth="1" min="2" max="2"/>
    <col width="16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/>
    <row r="2" ht="25" customHeight="1">
      <c r="B2" s="4" t="inlineStr">
        <is>
          <t>Returns Analysis</t>
        </is>
      </c>
      <c r="C2" s="18" t="n"/>
      <c r="D2" s="18" t="n"/>
      <c r="E2" s="18" t="n"/>
      <c r="F2" s="18" t="n"/>
      <c r="G2" s="18" t="n"/>
      <c r="H2" s="19" t="n"/>
    </row>
    <row r="3"/>
    <row r="4" ht="19.5" customHeight="1">
      <c r="B4" s="7" t="inlineStr">
        <is>
          <t>Sponsor Equity Invested</t>
        </is>
      </c>
      <c r="C4" s="8" t="n">
        <v>2999.47477635</v>
      </c>
    </row>
    <row r="5" ht="19.5" customHeight="1">
      <c r="B5" s="7" t="inlineStr">
        <is>
          <t>Exit EBITDA</t>
        </is>
      </c>
      <c r="C5" s="8" t="n">
        <v>1141.745136969495</v>
      </c>
    </row>
    <row r="6" ht="19.5" customHeight="1">
      <c r="B6" s="7" t="inlineStr">
        <is>
          <t>Exit Multiple</t>
        </is>
      </c>
      <c r="C6" s="25" t="n">
        <v>8</v>
      </c>
    </row>
    <row r="7" ht="19.5" customHeight="1">
      <c r="B7" s="7" t="inlineStr">
        <is>
          <t>Exit Enterprise Value</t>
        </is>
      </c>
      <c r="C7" s="8" t="n">
        <v>9133.961095755962</v>
      </c>
    </row>
    <row r="8" ht="19.5" customHeight="1">
      <c r="B8" s="7" t="inlineStr">
        <is>
          <t>Less: Exit Debt</t>
        </is>
      </c>
      <c r="C8" s="8" t="n">
        <v>2555.78590738509</v>
      </c>
    </row>
    <row r="9" ht="19.5" customHeight="1">
      <c r="B9" s="7" t="inlineStr">
        <is>
          <t>Exit Equity Value</t>
        </is>
      </c>
      <c r="C9" s="8" t="n">
        <v>6578.175188370872</v>
      </c>
    </row>
    <row r="10" ht="19.5" customHeight="1">
      <c r="B10" s="7" t="inlineStr">
        <is>
          <t>MOIC</t>
        </is>
      </c>
      <c r="C10" s="25" t="n">
        <v>2.193109020365132</v>
      </c>
    </row>
    <row r="11" ht="19.5" customHeight="1">
      <c r="B11" s="7" t="inlineStr">
        <is>
          <t>5-Year IRR</t>
        </is>
      </c>
      <c r="C11" s="26" t="n">
        <v>0.1700705383937628</v>
      </c>
    </row>
  </sheetData>
  <mergeCells count="1">
    <mergeCell ref="B2:H2"/>
  </mergeCells>
  <pageMargins left="0.35" right="0.35" top="0.5" bottom="0.5" header="0.5" footer="0.5"/>
  <pageSetup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H9"/>
  <sheetViews>
    <sheetView showGridLines="0" workbookViewId="0">
      <selection activeCell="A1" sqref="A1"/>
    </sheetView>
  </sheetViews>
  <sheetFormatPr baseColWidth="8" defaultRowHeight="15"/>
  <cols>
    <col width="16" customWidth="1" min="2" max="2"/>
    <col width="13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/>
    <row r="2" ht="25" customHeight="1">
      <c r="B2" s="4" t="inlineStr">
        <is>
          <t>IRR Sensitivity</t>
        </is>
      </c>
      <c r="C2" s="18" t="n"/>
      <c r="D2" s="18" t="n"/>
      <c r="E2" s="18" t="n"/>
      <c r="F2" s="18" t="n"/>
      <c r="G2" s="18" t="n"/>
      <c r="H2" s="19" t="n"/>
    </row>
    <row r="3"/>
    <row r="4">
      <c r="D4" s="27" t="n">
        <v>4</v>
      </c>
      <c r="E4" s="27" t="n">
        <v>4.5</v>
      </c>
      <c r="F4" s="27" t="n">
        <v>5</v>
      </c>
      <c r="G4" s="27" t="n">
        <v>5.5</v>
      </c>
      <c r="H4" s="27" t="n">
        <v>6</v>
      </c>
    </row>
    <row r="5">
      <c r="B5" s="27" t="n">
        <v>7</v>
      </c>
      <c r="D5" s="16" t="n">
        <v>0.06415220941697641</v>
      </c>
      <c r="E5" s="16" t="n">
        <v>0.07229826012147056</v>
      </c>
      <c r="F5" s="16" t="n">
        <v>0.08284324408868105</v>
      </c>
      <c r="G5" s="16" t="n">
        <v>0.09704967872298376</v>
      </c>
      <c r="H5" s="16" t="n">
        <v>0.1172775988630468</v>
      </c>
    </row>
    <row r="6">
      <c r="B6" s="27" t="n">
        <v>7.5</v>
      </c>
      <c r="D6" s="16" t="n">
        <v>0.08650377312015389</v>
      </c>
      <c r="E6" s="16" t="n">
        <v>0.0970296227337013</v>
      </c>
      <c r="F6" s="16" t="n">
        <v>0.1105338648715846</v>
      </c>
      <c r="G6" s="16" t="n">
        <v>0.1285278729635697</v>
      </c>
      <c r="H6" s="16" t="n">
        <v>0.1537953316346015</v>
      </c>
    </row>
    <row r="7">
      <c r="B7" s="27" t="n">
        <v>8</v>
      </c>
      <c r="D7" s="16" t="n">
        <v>0.1071543762314502</v>
      </c>
      <c r="E7" s="16" t="n">
        <v>0.1197130989433217</v>
      </c>
      <c r="F7" s="16" t="n">
        <v>0.1357099200516627</v>
      </c>
      <c r="G7" s="16" t="n">
        <v>0.1568415029925665</v>
      </c>
      <c r="H7" s="16" t="n">
        <v>0.1862013115407704</v>
      </c>
    </row>
    <row r="8">
      <c r="B8" s="27" t="n">
        <v>8.5</v>
      </c>
      <c r="D8" s="16" t="n">
        <v>0.1263701688194867</v>
      </c>
      <c r="E8" s="16" t="n">
        <v>0.1406947499120204</v>
      </c>
      <c r="F8" s="16" t="n">
        <v>0.1588332922082725</v>
      </c>
      <c r="G8" s="16" t="n">
        <v>0.1826272639318558</v>
      </c>
      <c r="H8" s="16" t="n">
        <v>0.2154100801999719</v>
      </c>
    </row>
    <row r="9">
      <c r="B9" s="27" t="n">
        <v>9</v>
      </c>
      <c r="D9" s="16" t="n">
        <v>0.1443576633079224</v>
      </c>
      <c r="E9" s="16" t="n">
        <v>0.1602374155623114</v>
      </c>
      <c r="F9" s="16" t="n">
        <v>0.1802460088104849</v>
      </c>
      <c r="G9" s="16" t="n">
        <v>0.2063424378291592</v>
      </c>
      <c r="H9" s="16" t="n">
        <v>0.2420542190864254</v>
      </c>
    </row>
  </sheetData>
  <mergeCells count="1">
    <mergeCell ref="B2:H2"/>
  </mergeCells>
  <conditionalFormatting sqref="D5:H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35" right="0.35" top="0.5" bottom="0.5" header="0.5" footer="0.5"/>
  <pageSetup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H8"/>
  <sheetViews>
    <sheetView showGridLines="0" workbookViewId="0">
      <selection activeCell="A1" sqref="A1"/>
    </sheetView>
  </sheetViews>
  <sheetFormatPr baseColWidth="8" defaultRowHeight="15"/>
  <cols>
    <col width="22" customWidth="1" min="2" max="2"/>
    <col width="16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/>
    <row r="2" ht="25" customHeight="1">
      <c r="B2" s="4" t="inlineStr">
        <is>
          <t>LBO Summary</t>
        </is>
      </c>
      <c r="C2" s="18" t="n"/>
      <c r="D2" s="18" t="n"/>
      <c r="E2" s="18" t="n"/>
      <c r="F2" s="18" t="n"/>
      <c r="G2" s="18" t="n"/>
      <c r="H2" s="19" t="n"/>
    </row>
    <row r="3"/>
    <row r="4" ht="19.5" customHeight="1">
      <c r="B4" s="7" t="inlineStr">
        <is>
          <t>Headline Entry EV</t>
        </is>
      </c>
      <c r="C4" s="8">
        <f>Transaction!C9</f>
        <v/>
      </c>
    </row>
    <row r="5" ht="19.5" customHeight="1">
      <c r="B5" s="7" t="inlineStr">
        <is>
          <t>Sponsor Equity</t>
        </is>
      </c>
      <c r="C5" s="8">
        <f>Returns!C4</f>
        <v/>
      </c>
    </row>
    <row r="6" ht="19.5" customHeight="1">
      <c r="B6" s="7" t="inlineStr">
        <is>
          <t>Exit Equity Value</t>
        </is>
      </c>
      <c r="C6" s="8">
        <f>Returns!C9</f>
        <v/>
      </c>
    </row>
    <row r="7" ht="19.5" customHeight="1">
      <c r="B7" s="7" t="inlineStr">
        <is>
          <t>MOIC</t>
        </is>
      </c>
      <c r="C7" s="25">
        <f>Returns!C10</f>
        <v/>
      </c>
    </row>
    <row r="8" ht="19.5" customHeight="1">
      <c r="B8" s="7" t="inlineStr">
        <is>
          <t>IRR</t>
        </is>
      </c>
      <c r="C8" s="26">
        <f>Returns!C11</f>
        <v/>
      </c>
    </row>
  </sheetData>
  <mergeCells count="1">
    <mergeCell ref="B2:H2"/>
  </mergeCells>
  <pageMargins left="0.35" right="0.35" top="0.5" bottom="0.5" header="0.5" footer="0.5"/>
  <pageSetup fitToHeight="0" fitToWidth="1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H7"/>
  <sheetViews>
    <sheetView showGridLines="0" workbookViewId="0">
      <selection activeCell="A1" sqref="A1"/>
    </sheetView>
  </sheetViews>
  <sheetFormatPr baseColWidth="8" defaultRowHeight="15"/>
  <cols>
    <col width="70" customWidth="1" min="2" max="2"/>
    <col width="16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/>
    <row r="2" ht="25" customHeight="1">
      <c r="B2" s="4" t="inlineStr">
        <is>
          <t>Checks &amp; Audit</t>
        </is>
      </c>
      <c r="C2" s="18" t="n"/>
      <c r="D2" s="18" t="n"/>
      <c r="E2" s="18" t="n"/>
      <c r="F2" s="18" t="n"/>
      <c r="G2" s="18" t="n"/>
      <c r="H2" s="19" t="n"/>
    </row>
    <row r="3"/>
    <row r="4" ht="19.5" customHeight="1">
      <c r="B4" s="10" t="inlineStr">
        <is>
          <t>Check</t>
        </is>
      </c>
      <c r="C4" s="10" t="inlineStr">
        <is>
          <t>Status</t>
        </is>
      </c>
    </row>
    <row r="5" ht="19.5" customHeight="1">
      <c r="B5" s="21" t="inlineStr">
        <is>
          <t>Sources equal uses</t>
        </is>
      </c>
      <c r="C5" s="28">
        <f>IF(ABS(Transaction!C7-Transaction!F8)&lt;0.1,"OK","CHECK")</f>
        <v/>
      </c>
    </row>
    <row r="6" ht="19.5" customHeight="1">
      <c r="B6" s="20" t="inlineStr">
        <is>
          <t>Debt balance declines by exit year</t>
        </is>
      </c>
      <c r="C6" s="29">
        <f>IF(Debt_Schedule!M9&lt;Debt_Schedule!M5,"OK","CHECK")</f>
        <v/>
      </c>
    </row>
    <row r="7" ht="19.5" customHeight="1">
      <c r="B7" s="21" t="inlineStr">
        <is>
          <t>Returns output is numeric</t>
        </is>
      </c>
      <c r="C7" s="28">
        <f>IF(ISNUMBER(Returns!C11),"OK","CHECK")</f>
        <v/>
      </c>
    </row>
  </sheetData>
  <mergeCells count="1">
    <mergeCell ref="B2:H2"/>
  </mergeCells>
  <conditionalFormatting sqref="C5:C7">
    <cfRule type="cellIs" priority="1" operator="equal" dxfId="0">
      <formula>"OK"</formula>
    </cfRule>
    <cfRule type="cellIs" priority="2" operator="notEqual" dxfId="1">
      <formula>"OK"</formula>
    </cfRule>
  </conditionalFormatting>
  <pageMargins left="0.35" right="0.35" top="0.5" bottom="0.5" header="0.5" footer="0.5"/>
  <pageSetup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H7"/>
  <sheetViews>
    <sheetView showGridLines="0"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2" max="2"/>
    <col width="24" customWidth="1" min="3" max="3"/>
    <col width="28" customWidth="1" min="4" max="4"/>
    <col width="12" customWidth="1" min="5" max="5"/>
    <col width="48" customWidth="1" min="6" max="6"/>
    <col width="34" customWidth="1" min="7" max="7"/>
    <col width="48" customWidth="1" min="8" max="8"/>
  </cols>
  <sheetData>
    <row r="1"/>
    <row r="2" ht="25" customHeight="1">
      <c r="B2" s="4" t="inlineStr">
        <is>
          <t>Source Notes</t>
        </is>
      </c>
      <c r="C2" s="18" t="n"/>
      <c r="D2" s="18" t="n"/>
      <c r="E2" s="18" t="n"/>
      <c r="F2" s="18" t="n"/>
      <c r="G2" s="18" t="n"/>
      <c r="H2" s="19" t="n"/>
    </row>
    <row r="3"/>
    <row r="4" ht="19.5" customHeight="1">
      <c r="B4" s="13" t="inlineStr">
        <is>
          <t>Category</t>
        </is>
      </c>
      <c r="C4" s="13" t="inlineStr">
        <is>
          <t>Entity</t>
        </is>
      </c>
      <c r="D4" s="13" t="inlineStr">
        <is>
          <t>Document</t>
        </is>
      </c>
      <c r="E4" s="13" t="inlineStr">
        <is>
          <t>As of</t>
        </is>
      </c>
      <c r="F4" s="13" t="inlineStr">
        <is>
          <t>URL</t>
        </is>
      </c>
      <c r="G4" s="13" t="inlineStr">
        <is>
          <t>Local File</t>
        </is>
      </c>
      <c r="H4" s="13" t="inlineStr">
        <is>
          <t>Notes</t>
        </is>
      </c>
    </row>
    <row r="5" ht="33" customHeight="1">
      <c r="B5" s="21" t="inlineStr">
        <is>
          <t>LBO</t>
        </is>
      </c>
      <c r="C5" s="21" t="inlineStr">
        <is>
          <t>Dun &amp; Bradstreet</t>
        </is>
      </c>
      <c r="D5" s="21" t="inlineStr">
        <is>
          <t>2024 10-K</t>
        </is>
      </c>
      <c r="E5" s="30" t="inlineStr">
        <is>
          <t>2024-12-31</t>
        </is>
      </c>
      <c r="F5" s="30" t="inlineStr">
        <is>
          <t>https://www.sec.gov/Archives/edgar/data/1799208/000179920825000012/dnb-20241231.htm</t>
        </is>
      </c>
      <c r="G5" s="30" t="inlineStr">
        <is>
          <t>data/raw/reference_html/dnb_2024_10k.html</t>
        </is>
      </c>
      <c r="H5" s="30" t="inlineStr">
        <is>
          <t>Historical GAAP actuals and capital structure.</t>
        </is>
      </c>
    </row>
    <row r="6" ht="46.5" customHeight="1">
      <c r="B6" s="20" t="inlineStr">
        <is>
          <t>LBO</t>
        </is>
      </c>
      <c r="C6" s="20" t="inlineStr">
        <is>
          <t>Dun &amp; Bradstreet</t>
        </is>
      </c>
      <c r="D6" s="31" t="inlineStr">
        <is>
          <t>Q4 2024 Earnings Presentation</t>
        </is>
      </c>
      <c r="E6" s="31" t="inlineStr">
        <is>
          <t>2025-02-20</t>
        </is>
      </c>
      <c r="F6" s="31" t="inlineStr">
        <is>
          <t>https://www.sec.gov/Archives/edgar/data/1799208/000179920825000008/dbearningspresentationq4.htm</t>
        </is>
      </c>
      <c r="G6" s="31" t="inlineStr">
        <is>
          <t>data/raw/reference_html/dnb_2025_guidance.html</t>
        </is>
      </c>
      <c r="H6" s="31" t="inlineStr">
        <is>
          <t>Management 2025 revenue, EBITDA, D&amp;A, tax, and capex guidance.</t>
        </is>
      </c>
    </row>
    <row r="7" ht="33" customHeight="1">
      <c r="B7" s="21" t="inlineStr">
        <is>
          <t>LBO</t>
        </is>
      </c>
      <c r="C7" s="21" t="inlineStr">
        <is>
          <t>Dun &amp; Bradstreet</t>
        </is>
      </c>
      <c r="D7" s="21" t="inlineStr">
        <is>
          <t>Acquisition Announcement</t>
        </is>
      </c>
      <c r="E7" s="30" t="inlineStr">
        <is>
          <t>2025-03-24</t>
        </is>
      </c>
      <c r="F7" s="30" t="inlineStr">
        <is>
          <t>https://www.sec.gov/Archives/edgar/data/1799208/000110465925027293/tm2510133d1_ex99-1.htm</t>
        </is>
      </c>
      <c r="G7" s="30" t="inlineStr">
        <is>
          <t>data/raw/reference_html/dnb_deal_announcement.html</t>
        </is>
      </c>
      <c r="H7" s="30" t="inlineStr">
        <is>
          <t>Offer price and headline transaction valuation.</t>
        </is>
      </c>
    </row>
  </sheetData>
  <mergeCells count="1">
    <mergeCell ref="B2:H2"/>
  </mergeCells>
  <pageMargins left="0.35" right="0.35" top="0.5" bottom="0.5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Jordan Mahmood</dc:creator>
  <dcterms:created xsi:type="dcterms:W3CDTF">2026-04-23T17:34:13Z</dcterms:created>
  <dcterms:modified xsi:type="dcterms:W3CDTF">2026-04-23T18:35:09+00:00Z</dcterms:modified>
  <cp:lastModifiedBy>Jordan Mahmood</cp:lastModifiedBy>
</cp:coreProperties>
</file>