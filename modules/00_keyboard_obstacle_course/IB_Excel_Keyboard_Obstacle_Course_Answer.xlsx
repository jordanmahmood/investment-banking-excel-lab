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hortcut_Map" sheetId="3" state="visible" r:id="rId3"/>
    <sheet xmlns:r="http://schemas.openxmlformats.org/officeDocument/2006/relationships" name="Level_01_Navigation" sheetId="4" state="visible" r:id="rId4"/>
    <sheet xmlns:r="http://schemas.openxmlformats.org/officeDocument/2006/relationships" name="Level_02_Cleanup" sheetId="5" state="visible" r:id="rId5"/>
    <sheet xmlns:r="http://schemas.openxmlformats.org/officeDocument/2006/relationships" name="Level_03_Formula_Relay" sheetId="6" state="visible" r:id="rId6"/>
    <sheet xmlns:r="http://schemas.openxmlformats.org/officeDocument/2006/relationships" name="Boss_Fight" sheetId="7" state="visible" r:id="rId7"/>
    <sheet xmlns:r="http://schemas.openxmlformats.org/officeDocument/2006/relationships" name="Scorecard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Source_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x"/>
    <numFmt numFmtId="166" formatCode="$#,##0.00"/>
    <numFmt numFmtId="167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0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left" vertical="center"/>
    </xf>
    <xf numFmtId="167" fontId="3" fillId="5" borderId="1" applyAlignment="1" pivotButton="0" quotePrefix="0" xfId="0">
      <alignment horizontal="left" vertical="center"/>
    </xf>
    <xf numFmtId="19" fontId="3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30.5" customHeight="1">
      <c r="B2" s="1" t="inlineStr">
        <is>
          <t>IB Excel Keyboard Obstacle Course</t>
        </is>
      </c>
      <c r="C2" s="25" t="n"/>
      <c r="D2" s="25" t="n"/>
      <c r="E2" s="25" t="n"/>
      <c r="F2" s="25" t="n"/>
      <c r="G2" s="25" t="n"/>
      <c r="H2" s="26" t="n"/>
    </row>
    <row r="3">
      <c r="B3" s="27" t="n"/>
      <c r="H3" s="28" t="n"/>
    </row>
    <row r="4">
      <c r="B4" s="29" t="n"/>
      <c r="C4" s="30" t="n"/>
      <c r="D4" s="30" t="n"/>
      <c r="E4" s="30" t="n"/>
      <c r="F4" s="30" t="n"/>
      <c r="G4" s="30" t="n"/>
      <c r="H4" s="31" t="n"/>
    </row>
    <row r="5" ht="24" customHeight="1">
      <c r="B5" s="34" t="inlineStr">
        <is>
          <t>A keyboard-only workout built for analyst-style Excel speed.</t>
        </is>
      </c>
    </row>
    <row r="6"/>
    <row r="7" ht="24" customHeight="1">
      <c r="B7" s="6" t="inlineStr">
        <is>
          <t>• In banking, using the mouse for routine Excel work is usually a speed penalty.</t>
        </is>
      </c>
    </row>
    <row r="8" ht="24" customHeight="1">
      <c r="B8" s="6" t="inlineStr">
        <is>
          <t>• The module starts easy and gets meaningfully harder by the boss fight.</t>
        </is>
      </c>
    </row>
    <row r="9" ht="24" customHeight="1">
      <c r="B9" s="6" t="inlineStr">
        <is>
          <t>• Log every mouse touch as a penalty on the scorecard.</t>
        </is>
      </c>
    </row>
  </sheetData>
  <mergeCells count="5">
    <mergeCell ref="B8:H8"/>
    <mergeCell ref="B9:H9"/>
    <mergeCell ref="B7:H7"/>
    <mergeCell ref="B2:H4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Game Rules</t>
        </is>
      </c>
      <c r="C2" s="32" t="n"/>
      <c r="D2" s="32" t="n"/>
      <c r="E2" s="32" t="n"/>
      <c r="F2" s="32" t="n"/>
      <c r="G2" s="32" t="n"/>
      <c r="H2" s="33" t="n"/>
    </row>
    <row r="3"/>
    <row r="4" ht="19.5" customHeight="1">
      <c r="B4" s="5" t="n">
        <v>1</v>
      </c>
      <c r="C4" s="6" t="inlineStr">
        <is>
          <t>Complete Level_01 through Boss_Fight in order.</t>
        </is>
      </c>
    </row>
    <row r="5"/>
    <row r="6" ht="19.5" customHeight="1">
      <c r="B6" s="5" t="n">
        <v>2</v>
      </c>
      <c r="C6" s="6" t="inlineStr">
        <is>
          <t>Use only the keyboard; if you touch the mouse, add a penalty on Scorecard.</t>
        </is>
      </c>
    </row>
    <row r="7"/>
    <row r="8" ht="19.5" customHeight="1">
      <c r="B8" s="5" t="n">
        <v>3</v>
      </c>
      <c r="C8" s="6" t="inlineStr">
        <is>
          <t>Use the answer workbook only after a full honest run or when you are stuck.</t>
        </is>
      </c>
    </row>
  </sheetData>
  <mergeCells count="4">
    <mergeCell ref="C8:H8"/>
    <mergeCell ref="C6:H6"/>
    <mergeCell ref="B2:H2"/>
    <mergeCell ref="C4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Shortcut Map</t>
        </is>
      </c>
      <c r="C2" s="32" t="n"/>
      <c r="D2" s="32" t="n"/>
      <c r="E2" s="32" t="n"/>
      <c r="F2" s="32" t="n"/>
      <c r="G2" s="32" t="n"/>
      <c r="H2" s="33" t="n"/>
    </row>
    <row r="3"/>
    <row r="4" ht="33" customHeight="1">
      <c r="B4" s="7" t="inlineStr">
        <is>
          <t>Shortcut</t>
        </is>
      </c>
      <c r="C4" s="7" t="inlineStr">
        <is>
          <t>Use</t>
        </is>
      </c>
      <c r="D4" s="35" t="inlineStr">
        <is>
          <t>Why It Matters</t>
        </is>
      </c>
      <c r="E4" s="7" t="inlineStr">
        <is>
          <t>Uses Ctrl?</t>
        </is>
      </c>
    </row>
    <row r="5" ht="33" customHeight="1">
      <c r="B5" s="9" t="inlineStr">
        <is>
          <t>Ctrl + Arrow</t>
        </is>
      </c>
      <c r="C5" s="9" t="inlineStr">
        <is>
          <t>Jump to edge of a range</t>
        </is>
      </c>
      <c r="D5" s="9" t="inlineStr">
        <is>
          <t>Fast schedule movement</t>
        </is>
      </c>
      <c r="E5" s="8" t="inlineStr">
        <is>
          <t>Yes</t>
        </is>
      </c>
    </row>
    <row r="6" ht="46.5" customHeight="1">
      <c r="B6" s="11" t="inlineStr">
        <is>
          <t>Ctrl + Shift + Arrow</t>
        </is>
      </c>
      <c r="C6" s="11" t="inlineStr">
        <is>
          <t>Expand selection</t>
        </is>
      </c>
      <c r="D6" s="11" t="inlineStr">
        <is>
          <t>Select blocks without dragging</t>
        </is>
      </c>
      <c r="E6" s="10" t="inlineStr">
        <is>
          <t>Yes</t>
        </is>
      </c>
    </row>
    <row r="7" ht="46.5" customHeight="1">
      <c r="B7" s="9" t="inlineStr">
        <is>
          <t>Ctrl + PgUp / PgDn</t>
        </is>
      </c>
      <c r="C7" s="8" t="inlineStr">
        <is>
          <t>Move sheets</t>
        </is>
      </c>
      <c r="D7" s="9" t="inlineStr">
        <is>
          <t>Flip tabs without the mouse</t>
        </is>
      </c>
      <c r="E7" s="8" t="inlineStr">
        <is>
          <t>Yes</t>
        </is>
      </c>
    </row>
    <row r="8" ht="33" customHeight="1">
      <c r="B8" s="10" t="inlineStr">
        <is>
          <t>F2</t>
        </is>
      </c>
      <c r="C8" s="10" t="inlineStr">
        <is>
          <t>Edit cell</t>
        </is>
      </c>
      <c r="D8" s="11" t="inlineStr">
        <is>
          <t>Fix formulas in place</t>
        </is>
      </c>
      <c r="E8" s="10" t="inlineStr">
        <is>
          <t>No</t>
        </is>
      </c>
    </row>
    <row r="9" ht="46.5" customHeight="1">
      <c r="B9" s="8" t="inlineStr">
        <is>
          <t>F4</t>
        </is>
      </c>
      <c r="C9" s="9" t="inlineStr">
        <is>
          <t>Lock references / repeat action</t>
        </is>
      </c>
      <c r="D9" s="9" t="inlineStr">
        <is>
          <t>Absolute references and repetition</t>
        </is>
      </c>
      <c r="E9" s="8" t="inlineStr">
        <is>
          <t>No</t>
        </is>
      </c>
    </row>
    <row r="10" ht="46.5" customHeight="1">
      <c r="B10" s="10" t="inlineStr">
        <is>
          <t>F5</t>
        </is>
      </c>
      <c r="C10" s="10" t="inlineStr">
        <is>
          <t>Go To</t>
        </is>
      </c>
      <c r="D10" s="11" t="inlineStr">
        <is>
          <t>Jump to checkpoints immediately</t>
        </is>
      </c>
      <c r="E10" s="10" t="inlineStr">
        <is>
          <t>No</t>
        </is>
      </c>
    </row>
    <row r="11" ht="33" customHeight="1">
      <c r="B11" s="8" t="inlineStr">
        <is>
          <t>Ctrl + 1</t>
        </is>
      </c>
      <c r="C11" s="9" t="inlineStr">
        <is>
          <t>Format Cells</t>
        </is>
      </c>
      <c r="D11" s="9" t="inlineStr">
        <is>
          <t>Number formatting speed</t>
        </is>
      </c>
      <c r="E11" s="8" t="inlineStr">
        <is>
          <t>Yes</t>
        </is>
      </c>
    </row>
    <row r="12" ht="33" customHeight="1">
      <c r="B12" s="11" t="inlineStr">
        <is>
          <t>Ctrl + D / Ctrl + R</t>
        </is>
      </c>
      <c r="C12" s="11" t="inlineStr">
        <is>
          <t>Fill down / right</t>
        </is>
      </c>
      <c r="D12" s="11" t="inlineStr">
        <is>
          <t>Push formulas fast</t>
        </is>
      </c>
      <c r="E12" s="10" t="inlineStr">
        <is>
          <t>Yes</t>
        </is>
      </c>
    </row>
    <row r="13" ht="46.5" customHeight="1">
      <c r="B13" s="8" t="inlineStr">
        <is>
          <t>Alt</t>
        </is>
      </c>
      <c r="C13" s="9" t="inlineStr">
        <is>
          <t>Ribbon key tips</t>
        </is>
      </c>
      <c r="D13" s="9" t="inlineStr">
        <is>
          <t>Mouse-free formatting access</t>
        </is>
      </c>
      <c r="E13" s="8" t="inlineStr">
        <is>
          <t>No</t>
        </is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/>
    <row r="2" ht="25" customHeight="1">
      <c r="B2" s="4" t="inlineStr">
        <is>
          <t>Level 01: Navigation Run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3" t="n"/>
    </row>
    <row r="3"/>
    <row r="4" ht="19.5" customHeight="1">
      <c r="B4" s="7" t="inlineStr">
        <is>
          <t>Checkpoint</t>
        </is>
      </c>
      <c r="C4" s="7" t="inlineStr">
        <is>
          <t>Destination</t>
        </is>
      </c>
      <c r="D4" s="7" t="inlineStr">
        <is>
          <t>Code</t>
        </is>
      </c>
      <c r="E4" s="7" t="inlineStr">
        <is>
          <t>Status</t>
        </is>
      </c>
    </row>
    <row r="5" ht="19.5" customHeight="1">
      <c r="B5" s="12" t="inlineStr">
        <is>
          <t>1</t>
        </is>
      </c>
      <c r="C5" s="12" t="inlineStr">
        <is>
          <t>N8</t>
        </is>
      </c>
      <c r="D5" s="12" t="inlineStr">
        <is>
          <t>FAST</t>
        </is>
      </c>
      <c r="E5" s="13">
        <f>IF(N8="FAST","OK","CHECK")</f>
        <v/>
      </c>
    </row>
    <row r="6" ht="19.5" customHeight="1">
      <c r="B6" s="14" t="inlineStr">
        <is>
          <t>2</t>
        </is>
      </c>
      <c r="C6" s="14" t="inlineStr">
        <is>
          <t>T12</t>
        </is>
      </c>
      <c r="D6" s="14" t="inlineStr">
        <is>
          <t>EDGE</t>
        </is>
      </c>
      <c r="E6" s="15">
        <f>IF(T12="EDGE","OK","CHECK")</f>
        <v/>
      </c>
    </row>
    <row r="7" ht="19.5" customHeight="1">
      <c r="B7" s="12" t="inlineStr">
        <is>
          <t>3</t>
        </is>
      </c>
      <c r="C7" s="12" t="inlineStr">
        <is>
          <t>J20</t>
        </is>
      </c>
      <c r="D7" s="12" t="inlineStr">
        <is>
          <t>TAB</t>
        </is>
      </c>
      <c r="E7" s="13">
        <f>IF(J20="TAB","OK","CHECK")</f>
        <v/>
      </c>
    </row>
    <row r="8" ht="19.5" customHeight="1">
      <c r="B8" s="14" t="inlineStr">
        <is>
          <t>4</t>
        </is>
      </c>
      <c r="C8" s="14" t="inlineStr">
        <is>
          <t>W26</t>
        </is>
      </c>
      <c r="D8" s="14" t="inlineStr">
        <is>
          <t>ALT</t>
        </is>
      </c>
      <c r="E8" s="15">
        <f>IF(W26="ALT","OK","CHECK")</f>
        <v/>
      </c>
      <c r="N8" s="16" t="inlineStr">
        <is>
          <t>FAST</t>
        </is>
      </c>
    </row>
    <row r="9" ht="19.5" customHeight="1">
      <c r="B9" s="12" t="inlineStr">
        <is>
          <t>5</t>
        </is>
      </c>
      <c r="C9" s="12" t="inlineStr">
        <is>
          <t>F33</t>
        </is>
      </c>
      <c r="D9" s="12" t="inlineStr">
        <is>
          <t>FILL</t>
        </is>
      </c>
      <c r="E9" s="13">
        <f>IF(F33="FILL","OK","CHECK")</f>
        <v/>
      </c>
    </row>
    <row r="10"/>
    <row r="11"/>
    <row r="12" ht="19.5" customHeight="1">
      <c r="T12" s="16" t="inlineStr">
        <is>
          <t>EDGE</t>
        </is>
      </c>
    </row>
    <row r="13"/>
    <row r="14"/>
    <row r="15"/>
    <row r="16"/>
    <row r="17"/>
    <row r="18"/>
    <row r="19"/>
    <row r="20" ht="19.5" customHeight="1">
      <c r="J20" s="16" t="inlineStr">
        <is>
          <t>TAB</t>
        </is>
      </c>
    </row>
    <row r="21"/>
    <row r="22"/>
    <row r="23"/>
    <row r="24"/>
    <row r="25"/>
    <row r="26" ht="19.5" customHeight="1">
      <c r="W26" s="16" t="inlineStr">
        <is>
          <t>ALT</t>
        </is>
      </c>
    </row>
    <row r="27"/>
    <row r="28"/>
    <row r="29"/>
    <row r="30"/>
    <row r="31"/>
    <row r="32"/>
    <row r="33" ht="19.5" customHeight="1">
      <c r="F33" s="16" t="inlineStr">
        <is>
          <t>FILL</t>
        </is>
      </c>
    </row>
  </sheetData>
  <mergeCells count="1">
    <mergeCell ref="B2:W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/>
    <row r="2" ht="25" customHeight="1">
      <c r="B2" s="4" t="inlineStr">
        <is>
          <t>Level 02: Cleanup Sprint</t>
        </is>
      </c>
      <c r="C2" s="32" t="n"/>
      <c r="D2" s="32" t="n"/>
      <c r="E2" s="32" t="n"/>
      <c r="F2" s="32" t="n"/>
      <c r="G2" s="32" t="n"/>
      <c r="H2" s="32" t="n"/>
      <c r="I2" s="32" t="n"/>
      <c r="J2" s="33" t="n"/>
    </row>
    <row r="3"/>
    <row r="4" ht="19.5" customHeight="1">
      <c r="B4" s="7" t="inlineStr">
        <is>
          <t>Messy Label</t>
        </is>
      </c>
      <c r="C4" s="7" t="inlineStr">
        <is>
          <t>Raw Value</t>
        </is>
      </c>
      <c r="E4" s="7" t="inlineStr">
        <is>
          <t>Clean Label</t>
        </is>
      </c>
      <c r="F4" s="7" t="inlineStr">
        <is>
          <t>Clean Value</t>
        </is>
      </c>
    </row>
    <row r="5" ht="33" customHeight="1">
      <c r="B5" s="9" t="inlineStr">
        <is>
          <t xml:space="preserve"> revenue  build </t>
        </is>
      </c>
      <c r="C5" s="17" t="n">
        <v>2450.4</v>
      </c>
      <c r="E5" s="9" t="inlineStr">
        <is>
          <t>Revenue Build</t>
        </is>
      </c>
      <c r="F5" s="17" t="n">
        <v>2450.4</v>
      </c>
    </row>
    <row r="6" ht="33" customHeight="1">
      <c r="B6" s="11" t="inlineStr">
        <is>
          <t xml:space="preserve"> EBITDA bridge </t>
        </is>
      </c>
      <c r="C6" s="18" t="n">
        <v>970</v>
      </c>
      <c r="E6" s="9" t="inlineStr">
        <is>
          <t>EBITDA Bridge</t>
        </is>
      </c>
      <c r="F6" s="17" t="n">
        <v>970</v>
      </c>
    </row>
    <row r="7" ht="19.5" customHeight="1">
      <c r="B7" s="8" t="inlineStr">
        <is>
          <t xml:space="preserve"> delta   nwc </t>
        </is>
      </c>
      <c r="C7" s="17" t="n">
        <v>12.7</v>
      </c>
      <c r="E7" s="8" t="inlineStr">
        <is>
          <t>Delta NWC</t>
        </is>
      </c>
      <c r="F7" s="17" t="n">
        <v>12.7</v>
      </c>
    </row>
    <row r="8" ht="33" customHeight="1">
      <c r="B8" s="11" t="inlineStr">
        <is>
          <t xml:space="preserve"> exit multiple </t>
        </is>
      </c>
      <c r="C8" s="18" t="n">
        <v>8</v>
      </c>
      <c r="E8" s="9" t="inlineStr">
        <is>
          <t>Exit Multiple</t>
        </is>
      </c>
      <c r="F8" s="19" t="n">
        <v>8</v>
      </c>
    </row>
  </sheetData>
  <mergeCells count="1"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/>
    <row r="2" ht="25" customHeight="1">
      <c r="B2" s="4" t="inlineStr">
        <is>
          <t>Level 03: Formula Relay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3" t="n"/>
    </row>
    <row r="3"/>
    <row r="4" ht="19.5" customHeight="1">
      <c r="B4" s="7" t="inlineStr">
        <is>
          <t>Ticker</t>
        </is>
      </c>
      <c r="C4" s="7" t="inlineStr">
        <is>
          <t>Share Price</t>
        </is>
      </c>
      <c r="D4" s="7" t="inlineStr">
        <is>
          <t>Revenue</t>
        </is>
      </c>
      <c r="E4" s="7" t="inlineStr">
        <is>
          <t>EBITDA</t>
        </is>
      </c>
      <c r="F4" s="7" t="inlineStr">
        <is>
          <t>P / E</t>
        </is>
      </c>
      <c r="G4" s="35" t="inlineStr">
        <is>
          <t>EV / Revenue</t>
        </is>
      </c>
      <c r="H4" s="7" t="inlineStr">
        <is>
          <t>EV / EBITDA</t>
        </is>
      </c>
      <c r="J4" s="7" t="inlineStr">
        <is>
          <t>Task</t>
        </is>
      </c>
      <c r="K4" s="7" t="inlineStr">
        <is>
          <t>Answer</t>
        </is>
      </c>
    </row>
    <row r="5" ht="33" customHeight="1">
      <c r="B5" s="8" t="inlineStr">
        <is>
          <t>TRU</t>
        </is>
      </c>
      <c r="C5" s="20" t="n">
        <v>68.79000000000001</v>
      </c>
      <c r="D5" s="17" t="n">
        <v>4576.3</v>
      </c>
      <c r="E5" s="17" t="n">
        <v>1432.6</v>
      </c>
      <c r="F5" s="19" t="n">
        <v>28.2</v>
      </c>
      <c r="G5" s="19" t="n">
        <v>3.81</v>
      </c>
      <c r="H5" s="19" t="n">
        <v>12.17</v>
      </c>
      <c r="J5" s="9" t="inlineStr">
        <is>
          <t>Median EV / EBITDA</t>
        </is>
      </c>
      <c r="K5" s="19">
        <f>MEDIAN(H5:H8)</f>
        <v/>
      </c>
    </row>
    <row r="6" ht="33" customHeight="1">
      <c r="B6" s="10" t="inlineStr">
        <is>
          <t>EFX</t>
        </is>
      </c>
      <c r="C6" s="21" t="n">
        <v>179.66</v>
      </c>
      <c r="D6" s="18" t="n">
        <v>6074.5</v>
      </c>
      <c r="E6" s="18" t="n">
        <v>1822.1</v>
      </c>
      <c r="F6" s="22" t="n">
        <v>32.53</v>
      </c>
      <c r="G6" s="22" t="n">
        <v>4.19</v>
      </c>
      <c r="H6" s="22" t="n">
        <v>13.99</v>
      </c>
      <c r="J6" s="11" t="inlineStr">
        <is>
          <t>Highest Revenue Ticker</t>
        </is>
      </c>
      <c r="K6" s="8">
        <f>INDEX(B5:B8,MATCH(MAX(D5:D8),D5:D8,0))</f>
        <v/>
      </c>
    </row>
    <row r="7" ht="33" customHeight="1">
      <c r="B7" s="8" t="inlineStr">
        <is>
          <t>VRSK</t>
        </is>
      </c>
      <c r="C7" s="20" t="n">
        <v>183.5</v>
      </c>
      <c r="D7" s="17" t="n">
        <v>3072.7</v>
      </c>
      <c r="E7" s="17" t="n">
        <v>1603.1</v>
      </c>
      <c r="F7" s="19" t="n">
        <v>27.87</v>
      </c>
      <c r="G7" s="19" t="n">
        <v>7.69</v>
      </c>
      <c r="H7" s="19" t="n">
        <v>14.74</v>
      </c>
      <c r="J7" s="9" t="inlineStr">
        <is>
          <t>Average P / E</t>
        </is>
      </c>
      <c r="K7" s="19">
        <f>AVERAGE(F5:F8)</f>
        <v/>
      </c>
    </row>
    <row r="8" ht="46.5" customHeight="1">
      <c r="B8" s="10" t="inlineStr">
        <is>
          <t>MORN</t>
        </is>
      </c>
      <c r="C8" s="21" t="n">
        <v>169.7</v>
      </c>
      <c r="D8" s="18" t="n">
        <v>2445.5</v>
      </c>
      <c r="E8" s="18" t="n">
        <v>716.5</v>
      </c>
      <c r="F8" s="22" t="n">
        <v>17.95</v>
      </c>
      <c r="G8" s="22" t="n">
        <v>2.99</v>
      </c>
      <c r="H8" s="22" t="n">
        <v>10.21</v>
      </c>
      <c r="J8" s="11" t="inlineStr">
        <is>
          <t>TRU EV / Revenue Discount to Median</t>
        </is>
      </c>
      <c r="K8" s="23">
        <f>INDEX(G5:G8,MATCH("TRU",B5:B8,0))/MEDIAN(G5:G8)-1</f>
        <v/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Boss Fight</t>
        </is>
      </c>
      <c r="C2" s="32" t="n"/>
      <c r="D2" s="32" t="n"/>
      <c r="E2" s="32" t="n"/>
      <c r="F2" s="32" t="n"/>
      <c r="G2" s="32" t="n"/>
      <c r="H2" s="33" t="n"/>
    </row>
    <row r="3"/>
    <row r="4" ht="19.5" customHeight="1">
      <c r="B4" s="7" t="inlineStr">
        <is>
          <t>Task</t>
        </is>
      </c>
      <c r="C4" s="7" t="inlineStr">
        <is>
          <t>Answer</t>
        </is>
      </c>
    </row>
    <row r="5" ht="33" customHeight="1">
      <c r="B5" s="9" t="inlineStr">
        <is>
          <t>Ctrl Shortcut Count</t>
        </is>
      </c>
      <c r="C5" s="8">
        <f>COUNTIF(Shortcut_Map!E5:E13,"Yes")</f>
        <v/>
      </c>
    </row>
    <row r="6" ht="33" customHeight="1">
      <c r="B6" s="11" t="inlineStr">
        <is>
          <t>Checkpoint 4 Code</t>
        </is>
      </c>
      <c r="C6" s="8">
        <f>Level_01_Navigation!W26</f>
        <v/>
      </c>
    </row>
    <row r="7" ht="33" customHeight="1">
      <c r="B7" s="9" t="inlineStr">
        <is>
          <t>Median EV / EBITDA</t>
        </is>
      </c>
      <c r="C7" s="8">
        <f>Level_03_Formula_Relay!K5</f>
        <v/>
      </c>
    </row>
    <row r="8" ht="19.5" customHeight="1">
      <c r="B8" s="10" t="inlineStr">
        <is>
          <t>Boss Status</t>
        </is>
      </c>
      <c r="C8" s="8">
        <f>IF(AND(ISNUMBER(C5),ISTEXT(C6),ISNUMBER(C7)),"CLEAR","CHECK")</f>
        <v/>
      </c>
    </row>
  </sheetData>
  <mergeCells count="1"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Scorecard</t>
        </is>
      </c>
      <c r="C2" s="32" t="n"/>
      <c r="D2" s="32" t="n"/>
      <c r="E2" s="32" t="n"/>
      <c r="F2" s="32" t="n"/>
      <c r="G2" s="32" t="n"/>
      <c r="H2" s="33" t="n"/>
    </row>
    <row r="3"/>
    <row r="4" ht="19.5" customHeight="1">
      <c r="B4" s="7" t="inlineStr">
        <is>
          <t>Metric</t>
        </is>
      </c>
      <c r="C4" s="7" t="inlineStr">
        <is>
          <t>Value</t>
        </is>
      </c>
    </row>
    <row r="5" ht="19.5" customHeight="1">
      <c r="B5" s="8" t="inlineStr">
        <is>
          <t>Start Time</t>
        </is>
      </c>
      <c r="C5" s="24" t="n">
        <v>0.375</v>
      </c>
    </row>
    <row r="6" ht="19.5" customHeight="1">
      <c r="B6" s="10" t="inlineStr">
        <is>
          <t>Finish Time</t>
        </is>
      </c>
      <c r="C6" s="24" t="n">
        <v>0.3875</v>
      </c>
    </row>
    <row r="7" ht="33" customHeight="1">
      <c r="B7" s="9" t="inlineStr">
        <is>
          <t>Mouse Penalties</t>
        </is>
      </c>
      <c r="C7" s="12" t="n">
        <v>0</v>
      </c>
    </row>
    <row r="8" ht="19.5" customHeight="1">
      <c r="B8" s="10" t="inlineStr">
        <is>
          <t>Net Score</t>
        </is>
      </c>
      <c r="C8" s="12">
        <f>IF(AND(ISNUMBER(C5),ISNUMBER(C6)),MAX(0,100-((C6-C5)*1440)-(C7*10)),"")</f>
        <v/>
      </c>
    </row>
    <row r="9" ht="19.5" customHeight="1">
      <c r="B9" s="8" t="inlineStr">
        <is>
          <t>Medal</t>
        </is>
      </c>
      <c r="C9" s="12">
        <f>IF(C8="","PENDING",IF(C8&gt;=80,"Gold",IF(C8&gt;=60,"Silver","Bronze")))</f>
        <v/>
      </c>
    </row>
  </sheetData>
  <mergeCells count="1">
    <mergeCell ref="B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32" t="n"/>
      <c r="D2" s="32" t="n"/>
      <c r="E2" s="32" t="n"/>
      <c r="F2" s="32" t="n"/>
      <c r="G2" s="32" t="n"/>
      <c r="H2" s="33" t="n"/>
    </row>
    <row r="3"/>
    <row r="4" ht="19.5" customHeight="1">
      <c r="B4" s="7" t="inlineStr">
        <is>
          <t>Check</t>
        </is>
      </c>
      <c r="C4" s="7" t="inlineStr">
        <is>
          <t>Status</t>
        </is>
      </c>
    </row>
    <row r="5" ht="33" customHeight="1">
      <c r="B5" s="9" t="inlineStr">
        <is>
          <t>Checkpoint 1 reached</t>
        </is>
      </c>
      <c r="C5" s="13">
        <f>IF(Level_01_Navigation!N8="FAST","OK","CHECK")</f>
        <v/>
      </c>
    </row>
    <row r="6" ht="33" customHeight="1">
      <c r="B6" s="11" t="inlineStr">
        <is>
          <t>Cleanup sprint rebuilt</t>
        </is>
      </c>
      <c r="C6" s="15">
        <f>IF(Level_02_Cleanup!E5="Revenue Build","OK","CHECK")</f>
        <v/>
      </c>
    </row>
    <row r="7" ht="33" customHeight="1">
      <c r="B7" s="9" t="inlineStr">
        <is>
          <t>Formula relay populated</t>
        </is>
      </c>
      <c r="C7" s="13">
        <f>IF(COUNTA(Level_03_Formula_Relay!K5:K8)=4,"OK","CHECK")</f>
        <v/>
      </c>
    </row>
    <row r="8" ht="33" customHeight="1">
      <c r="B8" s="11" t="inlineStr">
        <is>
          <t>Boss fight cleared</t>
        </is>
      </c>
      <c r="C8" s="15">
        <f>IF(Boss_Fight!C8="CLEAR","OK","CHECK")</f>
        <v/>
      </c>
    </row>
  </sheetData>
  <mergeCells count="1">
    <mergeCell ref="B2:H2"/>
  </mergeCells>
  <conditionalFormatting sqref="C5:C8">
    <cfRule type="cellIs" priority="1" operator="equal" dxfId="0">
      <formula>"OK"</formula>
    </cfRule>
    <cfRule type="cellIs" priority="2" operator="notEqual" dxfId="1">
      <formula>"OK"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showRowColHeaders="1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Source Notes</t>
        </is>
      </c>
      <c r="C2" s="32" t="n"/>
      <c r="D2" s="32" t="n"/>
      <c r="E2" s="32" t="n"/>
      <c r="F2" s="32" t="n"/>
      <c r="G2" s="32" t="n"/>
      <c r="H2" s="33" t="n"/>
    </row>
    <row r="3"/>
    <row r="4" ht="19.5" customHeight="1">
      <c r="B4" s="7" t="inlineStr">
        <is>
          <t>Category</t>
        </is>
      </c>
      <c r="C4" s="7" t="inlineStr">
        <is>
          <t>Entity</t>
        </is>
      </c>
      <c r="D4" s="7" t="inlineStr">
        <is>
          <t>Document</t>
        </is>
      </c>
      <c r="E4" s="7" t="inlineStr">
        <is>
          <t>As of</t>
        </is>
      </c>
      <c r="F4" s="7" t="inlineStr">
        <is>
          <t>URL</t>
        </is>
      </c>
      <c r="G4" s="7" t="inlineStr">
        <is>
          <t>Notes</t>
        </is>
      </c>
    </row>
    <row r="5" ht="46.5" customHeight="1">
      <c r="B5" s="9" t="inlineStr">
        <is>
          <t>Excel Productivity</t>
        </is>
      </c>
      <c r="C5" s="8" t="inlineStr">
        <is>
          <t>Microsoft</t>
        </is>
      </c>
      <c r="D5" s="9" t="inlineStr">
        <is>
          <t>Excel Keyboard Shortcuts</t>
        </is>
      </c>
      <c r="E5" s="8" t="inlineStr">
        <is>
          <t>2026-04-23</t>
        </is>
      </c>
      <c r="F5" s="9" t="inlineStr">
        <is>
          <t>support.microsoft.com</t>
        </is>
      </c>
      <c r="G5" s="9" t="inlineStr">
        <is>
          <t>Official shortcut reference</t>
        </is>
      </c>
    </row>
    <row r="6" ht="46.5" customHeight="1">
      <c r="B6" s="11" t="inlineStr">
        <is>
          <t>Excel Productivity</t>
        </is>
      </c>
      <c r="C6" s="10" t="inlineStr">
        <is>
          <t>Macabacus</t>
        </is>
      </c>
      <c r="D6" s="11" t="inlineStr">
        <is>
          <t>Financial Modeling Shortcut Guide</t>
        </is>
      </c>
      <c r="E6" s="10" t="inlineStr">
        <is>
          <t>2025-01-29</t>
        </is>
      </c>
      <c r="F6" s="11" t="inlineStr">
        <is>
          <t>macabacus.com</t>
        </is>
      </c>
      <c r="G6" s="11" t="inlineStr">
        <is>
          <t>Finance-focused shortcut guidance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2026-04-23T16:08:16Z</dcterms:created>
  <dcterms:modified xsi:type="dcterms:W3CDTF">2026-04-23T18:33:14+00:00Z</dcterms:modified>
  <cp:lastModifiedBy>Jordan Mahmood</cp:lastModifiedBy>
</cp:coreProperties>
</file>