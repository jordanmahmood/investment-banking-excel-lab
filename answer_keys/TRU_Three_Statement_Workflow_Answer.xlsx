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IS" sheetId="4" state="visible" r:id="rId4"/>
    <sheet xmlns:r="http://schemas.openxmlformats.org/officeDocument/2006/relationships" name="Schedule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Checks" sheetId="7" state="visible" r:id="rId7"/>
    <sheet xmlns:r="http://schemas.openxmlformats.org/officeDocument/2006/relationships" name="Source_Notes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10"/>
    </font>
    <font>
      <name val="Calibri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EBITDA Build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'IS'!$D$4:$I$4</f>
            </numRef>
          </cat>
          <val>
            <numRef>
              <f>'IS'!$D$5:$I$5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'IS'!$D$4:$I$4</f>
            </numRef>
          </cat>
          <val>
            <numRef>
              <f>'IS'!$D$6:$I$6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Investment Banking Workflow: 3-Statement Model Build</t>
        </is>
      </c>
      <c r="C2" s="20" t="n"/>
      <c r="D2" s="20" t="n"/>
      <c r="E2" s="20" t="n"/>
      <c r="F2" s="20" t="n"/>
      <c r="G2" s="20" t="n"/>
      <c r="H2" s="21" t="n"/>
    </row>
    <row r="3" ht="20" customHeight="1">
      <c r="B3" s="22" t="n"/>
      <c r="H3" s="23" t="n"/>
    </row>
    <row r="4" ht="20" customHeight="1">
      <c r="B4" s="24" t="n"/>
      <c r="C4" s="25" t="n"/>
      <c r="D4" s="25" t="n"/>
      <c r="E4" s="25" t="n"/>
      <c r="F4" s="25" t="n"/>
      <c r="G4" s="25" t="n"/>
      <c r="H4" s="26" t="n"/>
    </row>
    <row r="5" ht="24" customHeight="1">
      <c r="B5" s="27" t="inlineStr">
        <is>
          <t>TRU historicals with a streamlined forecast case that mirrors a real analyst workflow.</t>
        </is>
      </c>
    </row>
    <row r="6" ht="20" customHeight="1"/>
    <row r="7" ht="24" customHeight="1">
      <c r="B7" s="6" t="inlineStr">
        <is>
          <t>• The model separates assumptions, statements, schedules, summary outputs, and checks.</t>
        </is>
      </c>
    </row>
    <row r="8" ht="24" customHeight="1">
      <c r="B8" s="6" t="inlineStr">
        <is>
          <t>• Forecasts roll through the income statement, selected balance-sheet lines, and cash build.</t>
        </is>
      </c>
    </row>
    <row r="9" ht="24" customHeight="1">
      <c r="B9" s="6" t="inlineStr">
        <is>
          <t>• This workbook intentionally bridges into the full DCF module.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Build Sequence</t>
        </is>
      </c>
      <c r="C2" s="28" t="n"/>
      <c r="D2" s="28" t="n"/>
      <c r="E2" s="28" t="n"/>
      <c r="F2" s="28" t="n"/>
      <c r="G2" s="28" t="n"/>
      <c r="H2" s="29" t="n"/>
    </row>
    <row r="3"/>
    <row r="4" ht="19.5" customHeight="1">
      <c r="B4" s="5" t="n">
        <v>1</v>
      </c>
      <c r="C4" s="6" t="inlineStr">
        <is>
          <t>Start on Assumptions and confirm the forecast driver set.</t>
        </is>
      </c>
    </row>
    <row r="5"/>
    <row r="6" ht="19.5" customHeight="1">
      <c r="B6" s="5" t="n">
        <v>2</v>
      </c>
      <c r="C6" s="6" t="inlineStr">
        <is>
          <t>Link the income statement first, then roll the operating schedules and summary outputs.</t>
        </is>
      </c>
    </row>
    <row r="7"/>
    <row r="8" ht="19.5" customHeight="1">
      <c r="B8" s="5" t="n">
        <v>3</v>
      </c>
      <c r="C8" s="6" t="inlineStr">
        <is>
          <t>Use Summary for management-ready outputs and Checks for audit control.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3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Forecast Drivers</t>
        </is>
      </c>
      <c r="C2" s="28" t="n"/>
      <c r="D2" s="28" t="n"/>
      <c r="E2" s="28" t="n"/>
      <c r="F2" s="28" t="n"/>
      <c r="G2" s="28" t="n"/>
      <c r="H2" s="29" t="n"/>
    </row>
    <row r="3"/>
    <row r="4">
      <c r="D4" s="7" t="n">
        <v>2026</v>
      </c>
      <c r="E4" s="7" t="n">
        <v>2027</v>
      </c>
      <c r="F4" s="7" t="n">
        <v>2028</v>
      </c>
    </row>
    <row r="5" ht="19.5" customHeight="1">
      <c r="B5" s="8" t="inlineStr">
        <is>
          <t>Revenue Growth</t>
        </is>
      </c>
      <c r="D5" s="9" t="n">
        <v>0.08500000000000001</v>
      </c>
      <c r="E5" s="9" t="n">
        <v>0.07000000000000001</v>
      </c>
      <c r="F5" s="9" t="n">
        <v>0.06</v>
      </c>
    </row>
    <row r="6" ht="19.5" customHeight="1">
      <c r="B6" s="8" t="inlineStr">
        <is>
          <t>EBITDA Margin</t>
        </is>
      </c>
      <c r="D6" s="9" t="n">
        <v>0.315</v>
      </c>
      <c r="E6" s="9" t="n">
        <v>0.318</v>
      </c>
      <c r="F6" s="9" t="n">
        <v>0.32</v>
      </c>
    </row>
    <row r="7" ht="19.5" customHeight="1">
      <c r="B7" s="8" t="inlineStr">
        <is>
          <t>D&amp;A Margin</t>
        </is>
      </c>
      <c r="D7" s="9" t="n">
        <v>0.12</v>
      </c>
      <c r="E7" s="9" t="n">
        <v>0.117</v>
      </c>
      <c r="F7" s="9" t="n">
        <v>0.114</v>
      </c>
    </row>
    <row r="8" ht="19.5" customHeight="1">
      <c r="B8" s="8" t="inlineStr">
        <is>
          <t>Capex Margin</t>
        </is>
      </c>
      <c r="D8" s="9" t="n">
        <v>0.07000000000000001</v>
      </c>
      <c r="E8" s="9" t="n">
        <v>0.067</v>
      </c>
      <c r="F8" s="9" t="n">
        <v>0.065</v>
      </c>
    </row>
    <row r="9" ht="19.5" customHeight="1">
      <c r="B9" s="8" t="inlineStr">
        <is>
          <t>NWC Margin</t>
        </is>
      </c>
      <c r="D9" s="9" t="n">
        <v>0.094</v>
      </c>
      <c r="E9" s="9" t="n">
        <v>0.093</v>
      </c>
      <c r="F9" s="9" t="n">
        <v>0.092</v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4" t="inlineStr">
        <is>
          <t>Income Statement ($mm)</t>
        </is>
      </c>
      <c r="C2" s="28" t="n"/>
      <c r="D2" s="28" t="n"/>
      <c r="E2" s="28" t="n"/>
      <c r="F2" s="28" t="n"/>
      <c r="G2" s="28" t="n"/>
      <c r="H2" s="28" t="n"/>
      <c r="I2" s="29" t="n"/>
    </row>
    <row r="3"/>
    <row r="4">
      <c r="D4" s="7" t="n">
        <v>2023</v>
      </c>
      <c r="E4" s="7" t="n">
        <v>2024</v>
      </c>
      <c r="F4" s="7" t="n">
        <v>2025</v>
      </c>
      <c r="G4" s="7" t="n">
        <v>2026</v>
      </c>
      <c r="H4" s="7" t="n">
        <v>2027</v>
      </c>
      <c r="I4" s="7" t="n">
        <v>2028</v>
      </c>
    </row>
    <row r="5" ht="19.5" customHeight="1">
      <c r="B5" s="8" t="inlineStr">
        <is>
          <t>Revenue</t>
        </is>
      </c>
      <c r="D5" s="10" t="n">
        <v>3831.2</v>
      </c>
      <c r="E5" s="10" t="n">
        <v>4183.8</v>
      </c>
      <c r="F5" s="10" t="n">
        <v>4576.3</v>
      </c>
      <c r="G5" s="10">
        <f>F5*(1+Assumptions!G5)</f>
        <v/>
      </c>
      <c r="H5" s="10">
        <f>G5*(1+Assumptions!H5)</f>
        <v/>
      </c>
      <c r="I5" s="10">
        <f>H5*(1+Assumptions!I5)</f>
        <v/>
      </c>
    </row>
    <row r="6" ht="19.5" customHeight="1">
      <c r="B6" s="8" t="inlineStr">
        <is>
          <t>EBITDA</t>
        </is>
      </c>
      <c r="D6" s="11" t="n">
        <v>652.9</v>
      </c>
      <c r="E6" s="11" t="n">
        <v>1204.5</v>
      </c>
      <c r="F6" s="11" t="n">
        <v>1432.6</v>
      </c>
      <c r="G6" s="11">
        <f>G5*Assumptions!G6</f>
        <v/>
      </c>
      <c r="H6" s="11">
        <f>H5*Assumptions!H6</f>
        <v/>
      </c>
      <c r="I6" s="11">
        <f>I5*Assumptions!I6</f>
        <v/>
      </c>
    </row>
    <row r="7" ht="19.5" customHeight="1">
      <c r="B7" s="8" t="inlineStr">
        <is>
          <t>D&amp;A</t>
        </is>
      </c>
      <c r="D7" s="10" t="n">
        <v>524.4</v>
      </c>
      <c r="E7" s="10" t="n">
        <v>537.8</v>
      </c>
      <c r="F7" s="10" t="n">
        <v>574.8</v>
      </c>
      <c r="G7" s="10">
        <f>G5*Assumptions!G7</f>
        <v/>
      </c>
      <c r="H7" s="10">
        <f>H5*Assumptions!H7</f>
        <v/>
      </c>
      <c r="I7" s="10">
        <f>I5*Assumptions!I7</f>
        <v/>
      </c>
    </row>
    <row r="8" ht="19.5" customHeight="1">
      <c r="B8" s="8" t="inlineStr">
        <is>
          <t>EBIT</t>
        </is>
      </c>
      <c r="D8" s="11" t="n">
        <v>128.5</v>
      </c>
      <c r="E8" s="11" t="n">
        <v>666.7</v>
      </c>
      <c r="F8" s="11" t="n">
        <v>857.8</v>
      </c>
      <c r="G8" s="11">
        <f>G6-G7</f>
        <v/>
      </c>
      <c r="H8" s="11">
        <f>H6-H7</f>
        <v/>
      </c>
      <c r="I8" s="11">
        <f>I6-I7</f>
        <v/>
      </c>
    </row>
    <row r="9" ht="19.5" customHeight="1">
      <c r="B9" s="8" t="inlineStr">
        <is>
          <t>Interest</t>
        </is>
      </c>
      <c r="D9" s="10" t="n">
        <v>288.2</v>
      </c>
      <c r="E9" s="10" t="n">
        <v>265.2</v>
      </c>
      <c r="F9" s="10" t="n">
        <v>235.8</v>
      </c>
      <c r="G9" s="10">
        <f>F9</f>
        <v/>
      </c>
      <c r="H9" s="10">
        <f>F9</f>
        <v/>
      </c>
      <c r="I9" s="10">
        <f>F9</f>
        <v/>
      </c>
    </row>
    <row r="10" ht="19.5" customHeight="1">
      <c r="B10" s="8" t="inlineStr">
        <is>
          <t>Pretax Income</t>
        </is>
      </c>
      <c r="D10" s="11" t="n">
        <v>-159.7</v>
      </c>
      <c r="E10" s="11" t="n">
        <v>401.5</v>
      </c>
      <c r="F10" s="11" t="n">
        <v>622</v>
      </c>
      <c r="G10" s="11">
        <f>G8-G9</f>
        <v/>
      </c>
      <c r="H10" s="11">
        <f>H8-H9</f>
        <v/>
      </c>
      <c r="I10" s="11">
        <f>I8-I9</f>
        <v/>
      </c>
    </row>
    <row r="11" ht="19.5" customHeight="1">
      <c r="B11" s="8" t="inlineStr">
        <is>
          <t>Taxes</t>
        </is>
      </c>
      <c r="D11" s="10" t="n">
        <v>-39.925</v>
      </c>
      <c r="E11" s="10" t="n">
        <v>100.375</v>
      </c>
      <c r="F11" s="10" t="n">
        <v>155.5</v>
      </c>
      <c r="G11" s="10">
        <f>G10*0.25</f>
        <v/>
      </c>
      <c r="H11" s="10">
        <f>H10*0.25</f>
        <v/>
      </c>
      <c r="I11" s="10">
        <f>I10*0.25</f>
        <v/>
      </c>
    </row>
    <row r="12" ht="19.5" customHeight="1">
      <c r="B12" s="8" t="inlineStr">
        <is>
          <t>Net Income</t>
        </is>
      </c>
      <c r="D12" s="11" t="n">
        <v>-190.8</v>
      </c>
      <c r="E12" s="11" t="n">
        <v>302.3</v>
      </c>
      <c r="F12" s="11" t="n">
        <v>469.9</v>
      </c>
      <c r="G12" s="11">
        <f>G10-G11</f>
        <v/>
      </c>
      <c r="H12" s="11">
        <f>H10-H11</f>
        <v/>
      </c>
      <c r="I12" s="11">
        <f>I10-I11</f>
        <v/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4" t="inlineStr">
        <is>
          <t>Operating Support Schedules ($mm)</t>
        </is>
      </c>
      <c r="C2" s="28" t="n"/>
      <c r="D2" s="28" t="n"/>
      <c r="E2" s="28" t="n"/>
      <c r="F2" s="28" t="n"/>
      <c r="G2" s="28" t="n"/>
      <c r="H2" s="28" t="n"/>
      <c r="I2" s="29" t="n"/>
    </row>
    <row r="3"/>
    <row r="4">
      <c r="D4" s="7" t="n">
        <v>2023</v>
      </c>
      <c r="E4" s="7" t="n">
        <v>2024</v>
      </c>
      <c r="F4" s="7" t="n">
        <v>2025</v>
      </c>
      <c r="G4" s="7" t="n">
        <v>2026</v>
      </c>
      <c r="H4" s="7" t="n">
        <v>2027</v>
      </c>
      <c r="I4" s="7" t="n">
        <v>2028</v>
      </c>
    </row>
    <row r="5" ht="19.5" customHeight="1">
      <c r="B5" s="8" t="inlineStr">
        <is>
          <t>NWC</t>
        </is>
      </c>
      <c r="D5" s="10" t="n">
        <v>405.4</v>
      </c>
      <c r="E5" s="10" t="n">
        <v>388.6</v>
      </c>
      <c r="F5" s="10" t="n">
        <v>441.8</v>
      </c>
      <c r="G5" s="10">
        <f>IS!G5*Assumptions!G9</f>
        <v/>
      </c>
      <c r="H5" s="10">
        <f>IS!H5*Assumptions!H9</f>
        <v/>
      </c>
      <c r="I5" s="10">
        <f>IS!I5*Assumptions!I9</f>
        <v/>
      </c>
    </row>
    <row r="6" ht="19.5" customHeight="1">
      <c r="B6" s="8" t="inlineStr">
        <is>
          <t>Change in NWC</t>
        </is>
      </c>
      <c r="D6" s="11" t="n">
        <v>0</v>
      </c>
      <c r="E6" s="11" t="n">
        <v>-16.8</v>
      </c>
      <c r="F6" s="11" t="n">
        <v>53.2</v>
      </c>
      <c r="G6" s="11">
        <f>G5-F5</f>
        <v/>
      </c>
      <c r="H6" s="11">
        <f>H5-G5</f>
        <v/>
      </c>
      <c r="I6" s="11">
        <f>I5-H5</f>
        <v/>
      </c>
    </row>
    <row r="7" ht="19.5" customHeight="1">
      <c r="B7" s="8" t="inlineStr">
        <is>
          <t>Capex</t>
        </is>
      </c>
      <c r="D7" s="10" t="n">
        <v>310.7</v>
      </c>
      <c r="E7" s="10" t="n">
        <v>315.8</v>
      </c>
      <c r="F7" s="10" t="n">
        <v>326</v>
      </c>
      <c r="G7" s="10">
        <f>IS!G5*Assumptions!G8</f>
        <v/>
      </c>
      <c r="H7" s="10">
        <f>IS!H5*Assumptions!H8</f>
        <v/>
      </c>
      <c r="I7" s="10">
        <f>IS!I5*Assumptions!I8</f>
        <v/>
      </c>
    </row>
    <row r="8" ht="19.5" customHeight="1">
      <c r="B8" s="8" t="inlineStr">
        <is>
          <t>FCF Before Financing</t>
        </is>
      </c>
      <c r="D8" s="11" t="n">
        <v>22.9</v>
      </c>
      <c r="E8" s="11" t="n">
        <v>541.1</v>
      </c>
      <c r="F8" s="11" t="n">
        <v>665.5</v>
      </c>
      <c r="G8" s="11">
        <f>IS!G12+IS!G7-G7-G6</f>
        <v/>
      </c>
      <c r="H8" s="11">
        <f>IS!H12+IS!H7-H7-H6</f>
        <v/>
      </c>
      <c r="I8" s="11">
        <f>IS!I12+IS!I7-I7-I6</f>
        <v/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Analyst Summary</t>
        </is>
      </c>
      <c r="C2" s="28" t="n"/>
      <c r="D2" s="28" t="n"/>
      <c r="E2" s="28" t="n"/>
      <c r="F2" s="28" t="n"/>
      <c r="G2" s="28" t="n"/>
      <c r="H2" s="29" t="n"/>
    </row>
    <row r="3"/>
    <row r="4" ht="19.5" customHeight="1">
      <c r="B4" s="8" t="inlineStr">
        <is>
          <t>2026 Revenue</t>
        </is>
      </c>
      <c r="C4" s="12">
        <f>IS!G5</f>
        <v/>
      </c>
    </row>
    <row r="5" ht="19.5" customHeight="1">
      <c r="B5" s="8" t="inlineStr">
        <is>
          <t>2026 EBITDA</t>
        </is>
      </c>
      <c r="C5" s="12">
        <f>IS!G6</f>
        <v/>
      </c>
    </row>
    <row r="6" ht="19.5" customHeight="1">
      <c r="B6" s="8" t="inlineStr">
        <is>
          <t>2026 Net Income</t>
        </is>
      </c>
      <c r="C6" s="12">
        <f>IS!G12</f>
        <v/>
      </c>
    </row>
    <row r="7" ht="33" customHeight="1">
      <c r="B7" s="30" t="inlineStr">
        <is>
          <t>2028 FCF Before Financing</t>
        </is>
      </c>
      <c r="C7" s="12">
        <f>Schedules!I8</f>
        <v/>
      </c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28" t="n"/>
      <c r="D2" s="28" t="n"/>
      <c r="E2" s="28" t="n"/>
      <c r="F2" s="28" t="n"/>
      <c r="G2" s="28" t="n"/>
      <c r="H2" s="29" t="n"/>
    </row>
    <row r="3"/>
    <row r="4" ht="19.5" customHeight="1">
      <c r="B4" s="13" t="inlineStr">
        <is>
          <t>Check</t>
        </is>
      </c>
      <c r="C4" s="13" t="inlineStr">
        <is>
          <t>Status</t>
        </is>
      </c>
    </row>
    <row r="5" ht="19.5" customHeight="1">
      <c r="B5" s="14" t="inlineStr">
        <is>
          <t>2026 revenue flows from assumptions</t>
        </is>
      </c>
      <c r="C5" s="15">
        <f>IF(ABS(IS!G5-(IS!F5*(1+Assumptions!G5)))&lt;0.1,"OK","CHECK")</f>
        <v/>
      </c>
    </row>
    <row r="6" ht="19.5" customHeight="1">
      <c r="B6" s="16" t="inlineStr">
        <is>
          <t>FCF before financing is positive by 2028</t>
        </is>
      </c>
      <c r="C6" s="17">
        <f>IF(Schedules!I8&gt;0,"OK","CHECK")</f>
        <v/>
      </c>
    </row>
    <row r="7" ht="19.5" customHeight="1">
      <c r="B7" s="14" t="inlineStr">
        <is>
          <t>Net income line is populated for forecast years</t>
        </is>
      </c>
      <c r="C7" s="15">
        <f>IF(COUNT(IS!G12:I12)=3,"OK","CHECK")</f>
        <v/>
      </c>
    </row>
  </sheetData>
  <mergeCells count="1">
    <mergeCell ref="B2:H2"/>
  </mergeCells>
  <conditionalFormatting sqref="C5:C7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28" t="n"/>
      <c r="D2" s="28" t="n"/>
      <c r="E2" s="28" t="n"/>
      <c r="F2" s="28" t="n"/>
      <c r="G2" s="28" t="n"/>
      <c r="H2" s="29" t="n"/>
    </row>
    <row r="3"/>
    <row r="4" ht="19.5" customHeight="1">
      <c r="B4" s="7" t="inlineStr">
        <is>
          <t>Category</t>
        </is>
      </c>
      <c r="C4" s="7" t="inlineStr">
        <is>
          <t>Entity</t>
        </is>
      </c>
      <c r="D4" s="7" t="inlineStr">
        <is>
          <t>Document</t>
        </is>
      </c>
      <c r="E4" s="7" t="inlineStr">
        <is>
          <t>As of</t>
        </is>
      </c>
      <c r="F4" s="7" t="inlineStr">
        <is>
          <t>URL</t>
        </is>
      </c>
      <c r="G4" s="7" t="inlineStr">
        <is>
          <t>Local File</t>
        </is>
      </c>
      <c r="H4" s="7" t="inlineStr">
        <is>
          <t>Notes</t>
        </is>
      </c>
    </row>
    <row r="5" ht="33" customHeight="1">
      <c r="B5" s="14" t="inlineStr">
        <is>
          <t>DCF</t>
        </is>
      </c>
      <c r="C5" s="14" t="inlineStr">
        <is>
          <t>TransUnion</t>
        </is>
      </c>
      <c r="D5" s="14" t="inlineStr">
        <is>
          <t>2025 10-K</t>
        </is>
      </c>
      <c r="E5" s="18" t="inlineStr">
        <is>
          <t>2025-12-31</t>
        </is>
      </c>
      <c r="F5" s="18" t="inlineStr">
        <is>
          <t>https://www.sec.gov/Archives/edgar/data/1552033/000155203326000012/tru-20251231.htm</t>
        </is>
      </c>
      <c r="G5" s="18" t="inlineStr">
        <is>
          <t>data/raw/reference_html/tru_2025_10k.html</t>
        </is>
      </c>
      <c r="H5" s="18" t="inlineStr">
        <is>
          <t>Historical actuals and balance-sheet data.</t>
        </is>
      </c>
    </row>
    <row r="6" ht="33" customHeight="1">
      <c r="B6" s="16" t="inlineStr">
        <is>
          <t>DCF</t>
        </is>
      </c>
      <c r="C6" s="16" t="inlineStr">
        <is>
          <t>TransUnion</t>
        </is>
      </c>
      <c r="D6" s="16" t="inlineStr">
        <is>
          <t>2026 Earnings Release</t>
        </is>
      </c>
      <c r="E6" s="19" t="inlineStr">
        <is>
          <t>2026-02-12</t>
        </is>
      </c>
      <c r="F6" s="19" t="inlineStr">
        <is>
          <t>https://www.sec.gov/Archives/edgar/data/1552033/000155203326000006/exhibit99112312025.htm</t>
        </is>
      </c>
      <c r="G6" s="19" t="inlineStr">
        <is>
          <t>data/raw/reference_html/tru_2026_guidance.html</t>
        </is>
      </c>
      <c r="H6" s="19" t="inlineStr">
        <is>
          <t>Management 2026 revenue and adjusted EBITDA guidance.</t>
        </is>
      </c>
    </row>
    <row r="7" ht="33" customHeight="1">
      <c r="B7" s="14" t="inlineStr">
        <is>
          <t>Valuation</t>
        </is>
      </c>
      <c r="C7" s="14" t="inlineStr">
        <is>
          <t>Damodaran</t>
        </is>
      </c>
      <c r="D7" s="14" t="inlineStr">
        <is>
          <t>Implied ERP Update</t>
        </is>
      </c>
      <c r="E7" s="18" t="inlineStr">
        <is>
          <t>2026-04-01</t>
        </is>
      </c>
      <c r="F7" s="18" t="inlineStr">
        <is>
          <t>https://pages.stern.nyu.edu/~adamodar/New_Home_Page/home.htm</t>
        </is>
      </c>
      <c r="G7" s="18" t="inlineStr">
        <is>
          <t>data/raw/reference_html/damodaran_home_apr_2026.html</t>
        </is>
      </c>
      <c r="H7" s="18" t="inlineStr">
        <is>
          <t>Used for U.S. ERP and risk-free rate assumptions.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2026-04-23T17:34:12Z</dcterms:created>
  <dcterms:modified xsi:type="dcterms:W3CDTF">2026-04-23T18:33:14+00:00Z</dcterms:modified>
  <cp:lastModifiedBy>Jordan Mahmood</cp:lastModifiedBy>
</cp:coreProperties>
</file>