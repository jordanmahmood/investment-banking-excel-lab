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Universe" sheetId="3" state="visible" r:id="rId3"/>
    <sheet xmlns:r="http://schemas.openxmlformats.org/officeDocument/2006/relationships" name="Market_Data" sheetId="4" state="visible" r:id="rId4"/>
    <sheet xmlns:r="http://schemas.openxmlformats.org/officeDocument/2006/relationships" name="Output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Source_Notes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0"/>
    <numFmt numFmtId="166" formatCode="0.00x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1E3A5F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left" vertical="center"/>
    </xf>
    <xf numFmtId="165" fontId="3" fillId="6" borderId="1" applyAlignment="1" pivotButton="0" quotePrefix="0" xfId="0">
      <alignment horizontal="left" vertical="center"/>
    </xf>
    <xf numFmtId="166" fontId="3" fillId="6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left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5" fillId="5" borderId="1" applyAlignment="1" pivotButton="0" quotePrefix="0" xfId="0">
      <alignment horizontal="left" vertical="center"/>
    </xf>
    <xf numFmtId="166" fontId="3" fillId="6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 / EBITDA Spread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'Market_Data'!O4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'Market_Data'!$C$5:$C$11</f>
            </numRef>
          </cat>
          <val>
            <numRef>
              <f>'Market_Data'!$O$5:$O$11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Multiple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Information &amp; Data Services Trading Comps</t>
        </is>
      </c>
      <c r="C2" s="30" t="n"/>
      <c r="D2" s="30" t="n"/>
      <c r="E2" s="30" t="n"/>
      <c r="F2" s="30" t="n"/>
      <c r="G2" s="30" t="n"/>
      <c r="H2" s="31" t="n"/>
    </row>
    <row r="3" ht="20" customHeight="1">
      <c r="B3" s="32" t="n"/>
      <c r="H3" s="33" t="n"/>
    </row>
    <row r="4" ht="20" customHeight="1">
      <c r="B4" s="34" t="n"/>
      <c r="C4" s="35" t="n"/>
      <c r="D4" s="35" t="n"/>
      <c r="E4" s="35" t="n"/>
      <c r="F4" s="35" t="n"/>
      <c r="G4" s="35" t="n"/>
      <c r="H4" s="36" t="n"/>
    </row>
    <row r="5" ht="24" customHeight="1">
      <c r="B5" s="37" t="inlineStr">
        <is>
          <t>Public-peer valuation set built off FY2025 SEC filings and market data as of April 1, 2026.</t>
        </is>
      </c>
    </row>
    <row r="6" ht="20" customHeight="1"/>
    <row r="7" ht="24" customHeight="1">
      <c r="B7" s="6" t="inlineStr">
        <is>
          <t>• Universe selected for recurring data, analytics, credit, and benchmark businesses.</t>
        </is>
      </c>
    </row>
    <row r="8" ht="24" customHeight="1">
      <c r="B8" s="6" t="inlineStr">
        <is>
          <t>• LTM metrics use FY2025 reported financials because all selected peers have December year ends.</t>
        </is>
      </c>
    </row>
    <row r="9" ht="24" customHeight="1">
      <c r="B9" s="6" t="inlineStr">
        <is>
          <t>• Outputs follow a banker-style trading comps summary with medians, means, and presentation-ready multiples.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How To Use This Workbook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5" t="n">
        <v>1</v>
      </c>
      <c r="C4" s="6" t="inlineStr">
        <is>
          <t>Review the peer rationale on Universe before changing the basket.</t>
        </is>
      </c>
    </row>
    <row r="5"/>
    <row r="6" ht="19.5" customHeight="1">
      <c r="B6" s="5" t="n">
        <v>2</v>
      </c>
      <c r="C6" s="6" t="inlineStr">
        <is>
          <t>Refresh market data with the scripts if you want to roll the valuation date.</t>
        </is>
      </c>
    </row>
    <row r="7"/>
    <row r="8" ht="19.5" customHeight="1">
      <c r="B8" s="5" t="n">
        <v>3</v>
      </c>
      <c r="C8" s="6" t="inlineStr">
        <is>
          <t>Use Output for presentation tables; keep Market_Data as the supporting working tab.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26" customWidth="1" min="3" max="3"/>
    <col width="58" customWidth="1" min="4" max="4"/>
  </cols>
  <sheetData>
    <row r="1"/>
    <row r="2" ht="22.5" customHeight="1">
      <c r="B2" s="7" t="inlineStr">
        <is>
          <t>Peer Universe</t>
        </is>
      </c>
      <c r="C2" s="8" t="n"/>
      <c r="D2" s="9" t="n"/>
    </row>
    <row r="3" ht="19.5" customHeight="1">
      <c r="B3" s="10" t="inlineStr">
        <is>
          <t>Ticker</t>
        </is>
      </c>
      <c r="C3" s="10" t="inlineStr">
        <is>
          <t>Company</t>
        </is>
      </c>
      <c r="D3" s="10" t="inlineStr">
        <is>
          <t>Inclusion Rationale</t>
        </is>
      </c>
    </row>
    <row r="4" ht="19.5" customHeight="1">
      <c r="B4" s="11" t="inlineStr">
        <is>
          <t>MORN</t>
        </is>
      </c>
      <c r="C4" s="11" t="inlineStr">
        <is>
          <t>Morningstar</t>
        </is>
      </c>
      <c r="D4" s="12" t="inlineStr">
        <is>
          <t>investment research and wealth technology</t>
        </is>
      </c>
    </row>
    <row r="5" ht="19.5" customHeight="1">
      <c r="B5" s="13" t="inlineStr">
        <is>
          <t>TRU</t>
        </is>
      </c>
      <c r="C5" s="13" t="inlineStr">
        <is>
          <t>TransUnion</t>
        </is>
      </c>
      <c r="D5" s="14" t="inlineStr">
        <is>
          <t>credit bureau, fraud, and identity data</t>
        </is>
      </c>
    </row>
    <row r="6" ht="19.5" customHeight="1">
      <c r="B6" s="11" t="inlineStr">
        <is>
          <t>EFX</t>
        </is>
      </c>
      <c r="C6" s="11" t="inlineStr">
        <is>
          <t>Equifax</t>
        </is>
      </c>
      <c r="D6" s="12" t="inlineStr">
        <is>
          <t>consumer, workforce, and verification data</t>
        </is>
      </c>
    </row>
    <row r="7" ht="19.5" customHeight="1">
      <c r="B7" s="13" t="inlineStr">
        <is>
          <t>VRSK</t>
        </is>
      </c>
      <c r="C7" s="13" t="inlineStr">
        <is>
          <t>Verisk Analytics</t>
        </is>
      </c>
      <c r="D7" s="14" t="inlineStr">
        <is>
          <t>insurance, risk, and analytics software</t>
        </is>
      </c>
    </row>
    <row r="8" ht="19.5" customHeight="1">
      <c r="B8" s="11" t="inlineStr">
        <is>
          <t>SPGI</t>
        </is>
      </c>
      <c r="C8" s="11" t="inlineStr">
        <is>
          <t>S&amp;P Global</t>
        </is>
      </c>
      <c r="D8" s="12" t="inlineStr">
        <is>
          <t>market intelligence, ratings, and benchmarks</t>
        </is>
      </c>
    </row>
    <row r="9" ht="19.5" customHeight="1">
      <c r="B9" s="13" t="inlineStr">
        <is>
          <t>MCO</t>
        </is>
      </c>
      <c r="C9" s="13" t="inlineStr">
        <is>
          <t>Moody's</t>
        </is>
      </c>
      <c r="D9" s="13" t="inlineStr">
        <is>
          <t>ratings, data, and research</t>
        </is>
      </c>
    </row>
    <row r="10" ht="19.5" customHeight="1">
      <c r="B10" s="11" t="inlineStr">
        <is>
          <t>MSCI</t>
        </is>
      </c>
      <c r="C10" s="11" t="inlineStr">
        <is>
          <t>MSCI</t>
        </is>
      </c>
      <c r="D10" s="12" t="inlineStr">
        <is>
          <t>index, risk, and portfolio analytics</t>
        </is>
      </c>
    </row>
  </sheetData>
  <mergeCells count="1">
    <mergeCell ref="B2:D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1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2" max="2"/>
    <col width="22" customWidth="1" min="3" max="3"/>
    <col width="12" customWidth="1" min="4" max="4"/>
    <col width="15" customWidth="1" min="5" max="5"/>
    <col width="14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/>
    <row r="2" ht="22.5" customHeight="1">
      <c r="B2" s="7" t="inlineStr">
        <is>
          <t>Market Data &amp; LTM Metrics ($mm, except share price and multiples)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9" t="n"/>
    </row>
    <row r="3" ht="33" customHeight="1">
      <c r="B3" s="10" t="inlineStr">
        <is>
          <t>Ticker</t>
        </is>
      </c>
      <c r="C3" s="10" t="inlineStr">
        <is>
          <t>Company</t>
        </is>
      </c>
      <c r="D3" s="38" t="inlineStr">
        <is>
          <t>Share Price</t>
        </is>
      </c>
      <c r="E3" s="38" t="inlineStr">
        <is>
          <t>Shares Out. (mm)</t>
        </is>
      </c>
      <c r="F3" s="10" t="inlineStr">
        <is>
          <t>Market Cap</t>
        </is>
      </c>
      <c r="G3" s="10" t="inlineStr">
        <is>
          <t>Debt</t>
        </is>
      </c>
      <c r="H3" s="10" t="inlineStr">
        <is>
          <t>Cash</t>
        </is>
      </c>
      <c r="I3" s="38" t="inlineStr">
        <is>
          <t>Enterprise Value</t>
        </is>
      </c>
      <c r="J3" s="10" t="inlineStr">
        <is>
          <t>LTM Revenue</t>
        </is>
      </c>
      <c r="K3" s="10" t="inlineStr">
        <is>
          <t>LTM EBITDA</t>
        </is>
      </c>
      <c r="L3" s="10" t="inlineStr">
        <is>
          <t>LTM EBIT</t>
        </is>
      </c>
      <c r="M3" s="38" t="inlineStr">
        <is>
          <t>LTM Net Income</t>
        </is>
      </c>
      <c r="N3" s="38" t="inlineStr">
        <is>
          <t>EV / Revenue</t>
        </is>
      </c>
      <c r="O3" s="38" t="inlineStr">
        <is>
          <t>EV / EBITDA</t>
        </is>
      </c>
      <c r="P3" s="10" t="inlineStr">
        <is>
          <t>EV / EBIT</t>
        </is>
      </c>
      <c r="Q3" s="10" t="inlineStr">
        <is>
          <t>P / E</t>
        </is>
      </c>
    </row>
    <row r="4" ht="19.5" customHeight="1">
      <c r="B4" s="11" t="inlineStr">
        <is>
          <t>MORN</t>
        </is>
      </c>
      <c r="C4" s="11" t="inlineStr">
        <is>
          <t>Morningstar</t>
        </is>
      </c>
      <c r="D4" s="11" t="n">
        <v>169.7</v>
      </c>
      <c r="E4" s="11" t="n">
        <v>39.6</v>
      </c>
      <c r="F4" s="11" t="n">
        <v>6717.4</v>
      </c>
      <c r="G4" s="11" t="n">
        <v>1072.6</v>
      </c>
      <c r="H4" s="11" t="n">
        <v>474.5</v>
      </c>
      <c r="I4" s="11" t="n">
        <v>7315.5</v>
      </c>
      <c r="J4" s="11" t="n">
        <v>2445.5</v>
      </c>
      <c r="K4" s="11" t="n">
        <v>716.5</v>
      </c>
      <c r="L4" s="11" t="n">
        <v>526.6</v>
      </c>
      <c r="M4" s="11" t="n">
        <v>374.2</v>
      </c>
      <c r="N4" s="11" t="n">
        <v>2.99</v>
      </c>
      <c r="O4" s="11" t="n">
        <v>10.21</v>
      </c>
      <c r="P4" s="11" t="n">
        <v>13.89</v>
      </c>
      <c r="Q4" s="11" t="n">
        <v>17.95</v>
      </c>
    </row>
    <row r="5" ht="19.5" customHeight="1">
      <c r="B5" s="13" t="inlineStr">
        <is>
          <t>TRU</t>
        </is>
      </c>
      <c r="C5" s="13" t="inlineStr">
        <is>
          <t>TransUnion</t>
        </is>
      </c>
      <c r="D5" s="15" t="n">
        <v>68.79000000000001</v>
      </c>
      <c r="E5" s="16" t="n">
        <v>192.6</v>
      </c>
      <c r="F5" s="16" t="n">
        <v>13249</v>
      </c>
      <c r="G5" s="16" t="n">
        <v>5035.9</v>
      </c>
      <c r="H5" s="16" t="n">
        <v>853.6</v>
      </c>
      <c r="I5" s="16" t="n">
        <v>17431.3</v>
      </c>
      <c r="J5" s="16" t="n">
        <v>4576.3</v>
      </c>
      <c r="K5" s="16" t="n">
        <v>1432.6</v>
      </c>
      <c r="L5" s="16" t="n">
        <v>857.8</v>
      </c>
      <c r="M5" s="16" t="n">
        <v>469.9</v>
      </c>
      <c r="N5" s="17" t="n">
        <v>3.81</v>
      </c>
      <c r="O5" s="17" t="n">
        <v>12.17</v>
      </c>
      <c r="P5" s="17" t="n">
        <v>20.32</v>
      </c>
      <c r="Q5" s="17" t="n">
        <v>28.2</v>
      </c>
    </row>
    <row r="6" ht="19.5" customHeight="1">
      <c r="B6" s="11" t="inlineStr">
        <is>
          <t>EFX</t>
        </is>
      </c>
      <c r="C6" s="11" t="inlineStr">
        <is>
          <t>Equifax</t>
        </is>
      </c>
      <c r="D6" s="18" t="n">
        <v>179.66</v>
      </c>
      <c r="E6" s="19" t="n">
        <v>120.3</v>
      </c>
      <c r="F6" s="19" t="n">
        <v>21607.7</v>
      </c>
      <c r="G6" s="19" t="n">
        <v>4055.3</v>
      </c>
      <c r="H6" s="19" t="n">
        <v>180.8</v>
      </c>
      <c r="I6" s="19" t="n">
        <v>25482.2</v>
      </c>
      <c r="J6" s="19" t="n">
        <v>6074.5</v>
      </c>
      <c r="K6" s="19" t="n">
        <v>1822.1</v>
      </c>
      <c r="L6" s="19" t="n">
        <v>1095.2</v>
      </c>
      <c r="M6" s="19" t="n">
        <v>664.3</v>
      </c>
      <c r="N6" s="20" t="n">
        <v>4.19</v>
      </c>
      <c r="O6" s="20" t="n">
        <v>13.99</v>
      </c>
      <c r="P6" s="20" t="n">
        <v>23.27</v>
      </c>
      <c r="Q6" s="20" t="n">
        <v>32.53</v>
      </c>
    </row>
    <row r="7" ht="19.5" customHeight="1">
      <c r="B7" s="13" t="inlineStr">
        <is>
          <t>VRSK</t>
        </is>
      </c>
      <c r="C7" s="13" t="inlineStr">
        <is>
          <t>Verisk Analytics</t>
        </is>
      </c>
      <c r="D7" s="15" t="n">
        <v>183.5</v>
      </c>
      <c r="E7" s="16" t="n">
        <v>137.9</v>
      </c>
      <c r="F7" s="16" t="n">
        <v>25312.3</v>
      </c>
      <c r="G7" s="16" t="n">
        <v>499.4</v>
      </c>
      <c r="H7" s="16" t="n">
        <v>2178.2</v>
      </c>
      <c r="I7" s="16" t="n">
        <v>23633.5</v>
      </c>
      <c r="J7" s="16" t="n">
        <v>3072.7</v>
      </c>
      <c r="K7" s="16" t="n">
        <v>1603.1</v>
      </c>
      <c r="L7" s="16" t="n">
        <v>1343.9</v>
      </c>
      <c r="M7" s="16" t="n">
        <v>908.3</v>
      </c>
      <c r="N7" s="17" t="n">
        <v>7.69</v>
      </c>
      <c r="O7" s="17" t="n">
        <v>14.74</v>
      </c>
      <c r="P7" s="17" t="n">
        <v>17.59</v>
      </c>
      <c r="Q7" s="17" t="n">
        <v>27.87</v>
      </c>
    </row>
    <row r="8" ht="19.5" customHeight="1">
      <c r="B8" s="11" t="inlineStr">
        <is>
          <t>SPGI</t>
        </is>
      </c>
      <c r="C8" s="11" t="inlineStr">
        <is>
          <t>S&amp;P Global</t>
        </is>
      </c>
      <c r="D8" s="18" t="n">
        <v>425.17</v>
      </c>
      <c r="E8" s="19" t="n">
        <v>298.8</v>
      </c>
      <c r="F8" s="19" t="n">
        <v>127040.8</v>
      </c>
      <c r="G8" s="19" t="n">
        <v>12370</v>
      </c>
      <c r="H8" s="19" t="n">
        <v>1745</v>
      </c>
      <c r="I8" s="19" t="n">
        <v>137665.8</v>
      </c>
      <c r="J8" s="19" t="n">
        <v>15336</v>
      </c>
      <c r="K8" s="19" t="n">
        <v>7657</v>
      </c>
      <c r="L8" s="19" t="n">
        <v>6478</v>
      </c>
      <c r="M8" s="19" t="n">
        <v>4820</v>
      </c>
      <c r="N8" s="20" t="n">
        <v>8.98</v>
      </c>
      <c r="O8" s="20" t="n">
        <v>17.98</v>
      </c>
      <c r="P8" s="20" t="n">
        <v>21.25</v>
      </c>
      <c r="Q8" s="20" t="n">
        <v>26.36</v>
      </c>
    </row>
    <row r="9" ht="19.5" customHeight="1">
      <c r="B9" s="13" t="inlineStr">
        <is>
          <t>MCO</t>
        </is>
      </c>
      <c r="C9" s="13" t="inlineStr">
        <is>
          <t>Moody's</t>
        </is>
      </c>
      <c r="D9" s="15" t="n">
        <v>438.78</v>
      </c>
      <c r="E9" s="16" t="n">
        <v>177.3</v>
      </c>
      <c r="F9" s="16" t="n">
        <v>77795.7</v>
      </c>
      <c r="G9" s="16" t="n">
        <v>6994</v>
      </c>
      <c r="H9" s="16" t="n">
        <v>2384</v>
      </c>
      <c r="I9" s="16" t="n">
        <v>82405.7</v>
      </c>
      <c r="J9" s="16" t="n">
        <v>7718</v>
      </c>
      <c r="K9" s="16" t="n">
        <v>3831</v>
      </c>
      <c r="L9" s="16" t="n">
        <v>3351</v>
      </c>
      <c r="M9" s="16" t="n">
        <v>2462</v>
      </c>
      <c r="N9" s="17" t="n">
        <v>10.68</v>
      </c>
      <c r="O9" s="17" t="n">
        <v>21.51</v>
      </c>
      <c r="P9" s="17" t="n">
        <v>24.59</v>
      </c>
      <c r="Q9" s="17" t="n">
        <v>31.6</v>
      </c>
    </row>
    <row r="10" ht="19.5" customHeight="1">
      <c r="B10" s="11" t="inlineStr">
        <is>
          <t>MSCI</t>
        </is>
      </c>
      <c r="C10" s="11" t="inlineStr">
        <is>
          <t>MSCI</t>
        </is>
      </c>
      <c r="D10" s="18" t="n">
        <v>536.9</v>
      </c>
      <c r="E10" s="19" t="n">
        <v>73.5</v>
      </c>
      <c r="F10" s="19" t="n">
        <v>39448.2</v>
      </c>
      <c r="G10" s="19" t="n">
        <v>6202.3</v>
      </c>
      <c r="H10" s="19" t="n">
        <v>515.3</v>
      </c>
      <c r="I10" s="19" t="n">
        <v>45135.2</v>
      </c>
      <c r="J10" s="19" t="n">
        <v>3134.5</v>
      </c>
      <c r="K10" s="19" t="n">
        <v>1737</v>
      </c>
      <c r="L10" s="19" t="n">
        <v>1713.6</v>
      </c>
      <c r="M10" s="19" t="n">
        <v>1202.3</v>
      </c>
      <c r="N10" s="20" t="n">
        <v>14.4</v>
      </c>
      <c r="O10" s="20" t="n">
        <v>25.98</v>
      </c>
      <c r="P10" s="20" t="n">
        <v>26.34</v>
      </c>
      <c r="Q10" s="20" t="n">
        <v>32.81</v>
      </c>
    </row>
    <row r="11">
      <c r="D11" s="21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3" t="n"/>
      <c r="O11" s="23" t="n"/>
      <c r="P11" s="23" t="n"/>
      <c r="Q11" s="23" t="n"/>
    </row>
  </sheetData>
  <mergeCells count="1">
    <mergeCell ref="B2:Q2"/>
  </mergeCells>
  <pageMargins left="0.35" right="0.3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/>
    <row r="2" ht="25" customHeight="1">
      <c r="B2" s="4" t="inlineStr">
        <is>
          <t>Presentation Summary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10" t="inlineStr">
        <is>
          <t>Metric</t>
        </is>
      </c>
      <c r="C4" s="10" t="inlineStr">
        <is>
          <t>Min</t>
        </is>
      </c>
      <c r="D4" s="10" t="inlineStr">
        <is>
          <t>25th %ile</t>
        </is>
      </c>
      <c r="E4" s="10" t="inlineStr">
        <is>
          <t>Median</t>
        </is>
      </c>
      <c r="F4" s="10" t="inlineStr">
        <is>
          <t>Mean</t>
        </is>
      </c>
      <c r="G4" s="10" t="inlineStr">
        <is>
          <t>75th %ile</t>
        </is>
      </c>
      <c r="H4" s="10" t="inlineStr">
        <is>
          <t>Max</t>
        </is>
      </c>
    </row>
    <row r="5" ht="19.5" customHeight="1">
      <c r="B5" s="24" t="inlineStr">
        <is>
          <t>EV / Revenue</t>
        </is>
      </c>
      <c r="C5" s="25">
        <f>MIN(Market_Data!N5:N11)</f>
        <v/>
      </c>
      <c r="D5" s="25">
        <f>QUARTILE.INC(Market_Data!N5:N11,1)</f>
        <v/>
      </c>
      <c r="E5" s="25">
        <f>MEDIAN(Market_Data!N5:N11)</f>
        <v/>
      </c>
      <c r="F5" s="25">
        <f>AVERAGE(Market_Data!N5:N11)</f>
        <v/>
      </c>
      <c r="G5" s="25">
        <f>QUARTILE.INC(Market_Data!N5:N11,3)</f>
        <v/>
      </c>
      <c r="H5" s="25">
        <f>MAX(Market_Data!N5:N11)</f>
        <v/>
      </c>
    </row>
    <row r="6" ht="19.5" customHeight="1">
      <c r="B6" s="24" t="inlineStr">
        <is>
          <t>EV / EBITDA</t>
        </is>
      </c>
      <c r="C6" s="26">
        <f>MIN(Market_Data!O5:O11)</f>
        <v/>
      </c>
      <c r="D6" s="26">
        <f>QUARTILE.INC(Market_Data!O5:O11,1)</f>
        <v/>
      </c>
      <c r="E6" s="26">
        <f>MEDIAN(Market_Data!O5:O11)</f>
        <v/>
      </c>
      <c r="F6" s="26">
        <f>AVERAGE(Market_Data!O5:O11)</f>
        <v/>
      </c>
      <c r="G6" s="26">
        <f>QUARTILE.INC(Market_Data!O5:O11,3)</f>
        <v/>
      </c>
      <c r="H6" s="26">
        <f>MAX(Market_Data!O5:O11)</f>
        <v/>
      </c>
    </row>
    <row r="7" ht="19.5" customHeight="1">
      <c r="B7" s="24" t="inlineStr">
        <is>
          <t>EV / EBIT</t>
        </is>
      </c>
      <c r="C7" s="25">
        <f>MIN(Market_Data!P5:P11)</f>
        <v/>
      </c>
      <c r="D7" s="25">
        <f>QUARTILE.INC(Market_Data!P5:P11,1)</f>
        <v/>
      </c>
      <c r="E7" s="25">
        <f>MEDIAN(Market_Data!P5:P11)</f>
        <v/>
      </c>
      <c r="F7" s="25">
        <f>AVERAGE(Market_Data!P5:P11)</f>
        <v/>
      </c>
      <c r="G7" s="25">
        <f>QUARTILE.INC(Market_Data!P5:P11,3)</f>
        <v/>
      </c>
      <c r="H7" s="25">
        <f>MAX(Market_Data!P5:P11)</f>
        <v/>
      </c>
    </row>
    <row r="8" ht="19.5" customHeight="1">
      <c r="B8" s="24" t="inlineStr">
        <is>
          <t>P / E</t>
        </is>
      </c>
      <c r="C8" s="26">
        <f>MIN(Market_Data!Q5:Q11)</f>
        <v/>
      </c>
      <c r="D8" s="26">
        <f>QUARTILE.INC(Market_Data!Q5:Q11,1)</f>
        <v/>
      </c>
      <c r="E8" s="26">
        <f>MEDIAN(Market_Data!Q5:Q11)</f>
        <v/>
      </c>
      <c r="F8" s="26">
        <f>AVERAGE(Market_Data!Q5:Q11)</f>
        <v/>
      </c>
      <c r="G8" s="26">
        <f>QUARTILE.INC(Market_Data!Q5:Q11,3)</f>
        <v/>
      </c>
      <c r="H8" s="26">
        <f>MAX(Market_Data!Q5:Q11)</f>
        <v/>
      </c>
    </row>
  </sheetData>
  <mergeCells count="1">
    <mergeCell ref="B2:H2"/>
  </mergeCells>
  <pageMargins left="0.35" right="0.35" top="0.5" bottom="0.5" header="0.5" footer="0.5"/>
  <pageSetup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Checks &amp; Audit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27" t="inlineStr">
        <is>
          <t>Check</t>
        </is>
      </c>
      <c r="C4" s="27" t="inlineStr">
        <is>
          <t>Status</t>
        </is>
      </c>
    </row>
    <row r="5" ht="19.5" customHeight="1">
      <c r="B5" s="13" t="inlineStr">
        <is>
          <t>All peer share prices are populated</t>
        </is>
      </c>
      <c r="C5" s="28">
        <f>IF(COUNT(Market_Data!D5:D11)=7,"OK","CHECK")</f>
        <v/>
      </c>
    </row>
    <row r="6" ht="19.5" customHeight="1">
      <c r="B6" s="11" t="inlineStr">
        <is>
          <t>Enterprise values are positive</t>
        </is>
      </c>
      <c r="C6" s="29">
        <f>IF(MIN(Market_Data!I5:I11)&gt;0,"OK","CHECK")</f>
        <v/>
      </c>
    </row>
    <row r="7" ht="19.5" customHeight="1">
      <c r="B7" s="13" t="inlineStr">
        <is>
          <t>Median EV / EBITDA is available</t>
        </is>
      </c>
      <c r="C7" s="28">
        <f>IF(ISNUMBER(Output!E6),"OK","CHECK")</f>
        <v/>
      </c>
    </row>
  </sheetData>
  <mergeCells count="1">
    <mergeCell ref="B2:H2"/>
  </mergeCells>
  <conditionalFormatting sqref="C5:C7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4" t="inlineStr">
        <is>
          <t>Source Notes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10" t="inlineStr">
        <is>
          <t>Category</t>
        </is>
      </c>
      <c r="C4" s="10" t="inlineStr">
        <is>
          <t>Entity</t>
        </is>
      </c>
      <c r="D4" s="10" t="inlineStr">
        <is>
          <t>Document</t>
        </is>
      </c>
      <c r="E4" s="10" t="inlineStr">
        <is>
          <t>As of</t>
        </is>
      </c>
      <c r="F4" s="10" t="inlineStr">
        <is>
          <t>URL</t>
        </is>
      </c>
      <c r="G4" s="10" t="inlineStr">
        <is>
          <t>Local File</t>
        </is>
      </c>
      <c r="H4" s="10" t="inlineStr">
        <is>
          <t>Notes</t>
        </is>
      </c>
    </row>
    <row r="5" ht="33" customHeight="1">
      <c r="B5" s="13" t="inlineStr">
        <is>
          <t>Public Company</t>
        </is>
      </c>
      <c r="C5" s="13" t="inlineStr">
        <is>
          <t>TransUnion</t>
        </is>
      </c>
      <c r="D5" s="13" t="inlineStr">
        <is>
          <t>2025 10-K</t>
        </is>
      </c>
      <c r="E5" s="14" t="inlineStr">
        <is>
          <t>2025-12-31</t>
        </is>
      </c>
      <c r="F5" s="14" t="inlineStr">
        <is>
          <t>https://www.sec.gov/Archives/edgar/data/1552033/000155203326000012/tru-20251231.htm</t>
        </is>
      </c>
      <c r="G5" s="14" t="inlineStr">
        <is>
          <t>data/raw/reference_html/tru_2025_10k.html</t>
        </is>
      </c>
      <c r="H5" s="14" t="inlineStr">
        <is>
          <t>Primary annual filing used for LTM operating and balance-sheet data.</t>
        </is>
      </c>
    </row>
    <row r="6" ht="33" customHeight="1">
      <c r="B6" s="11" t="inlineStr">
        <is>
          <t>Public Company</t>
        </is>
      </c>
      <c r="C6" s="11" t="inlineStr">
        <is>
          <t>Equifax</t>
        </is>
      </c>
      <c r="D6" s="11" t="inlineStr">
        <is>
          <t>2025 10-K</t>
        </is>
      </c>
      <c r="E6" s="12" t="inlineStr">
        <is>
          <t>2025-12-31</t>
        </is>
      </c>
      <c r="F6" s="12" t="inlineStr">
        <is>
          <t>https://www.sec.gov/Archives/edgar/data/33185/000003318526000010/efx-20251231.htm</t>
        </is>
      </c>
      <c r="G6" s="12" t="inlineStr">
        <is>
          <t>data/raw/reference_html/efx_2025_10k.html</t>
        </is>
      </c>
      <c r="H6" s="12" t="inlineStr">
        <is>
          <t>Primary annual filing used for LTM operating and balance-sheet data.</t>
        </is>
      </c>
    </row>
    <row r="7" ht="33" customHeight="1">
      <c r="B7" s="13" t="inlineStr">
        <is>
          <t>Public Company</t>
        </is>
      </c>
      <c r="C7" s="13" t="inlineStr">
        <is>
          <t>Verisk Analytics</t>
        </is>
      </c>
      <c r="D7" s="13" t="inlineStr">
        <is>
          <t>2025 10-K</t>
        </is>
      </c>
      <c r="E7" s="14" t="inlineStr">
        <is>
          <t>2025-12-31</t>
        </is>
      </c>
      <c r="F7" s="14" t="inlineStr">
        <is>
          <t>https://www.sec.gov/Archives/edgar/data/1442145/000143774926004452/vrsk20251231_10k.htm</t>
        </is>
      </c>
      <c r="G7" s="14" t="inlineStr">
        <is>
          <t>data/raw/reference_html/vrsk_2025_10k.html</t>
        </is>
      </c>
      <c r="H7" s="14" t="inlineStr">
        <is>
          <t>Primary annual filing used for LTM operating and balance-sheet data.</t>
        </is>
      </c>
    </row>
    <row r="8" ht="33" customHeight="1">
      <c r="B8" s="11" t="inlineStr">
        <is>
          <t>Public Company</t>
        </is>
      </c>
      <c r="C8" s="11" t="inlineStr">
        <is>
          <t>Morningstar</t>
        </is>
      </c>
      <c r="D8" s="11" t="inlineStr">
        <is>
          <t>2025 10-K</t>
        </is>
      </c>
      <c r="E8" s="12" t="inlineStr">
        <is>
          <t>2025-12-31</t>
        </is>
      </c>
      <c r="F8" s="12" t="inlineStr">
        <is>
          <t>https://www.sec.gov/Archives/edgar/data/1289419/000128941926000013/morn-20251231.htm</t>
        </is>
      </c>
      <c r="G8" s="12" t="inlineStr">
        <is>
          <t>data/raw/reference_html/morn_2025_10k.html</t>
        </is>
      </c>
      <c r="H8" s="12" t="inlineStr">
        <is>
          <t>Primary annual filing used for LTM operating and balance-sheet data.</t>
        </is>
      </c>
    </row>
    <row r="9" ht="33" customHeight="1">
      <c r="B9" s="13" t="inlineStr">
        <is>
          <t>Public Company</t>
        </is>
      </c>
      <c r="C9" s="13" t="inlineStr">
        <is>
          <t>MSCI</t>
        </is>
      </c>
      <c r="D9" s="13" t="inlineStr">
        <is>
          <t>2025 10-K</t>
        </is>
      </c>
      <c r="E9" s="14" t="inlineStr">
        <is>
          <t>2025-12-31</t>
        </is>
      </c>
      <c r="F9" s="14" t="inlineStr">
        <is>
          <t>https://www.sec.gov/Archives/edgar/data/1408198/000140819826000011/msci-20251231.htm</t>
        </is>
      </c>
      <c r="G9" s="14" t="inlineStr">
        <is>
          <t>data/raw/reference_html/msci_2025_10k.html</t>
        </is>
      </c>
      <c r="H9" s="14" t="inlineStr">
        <is>
          <t>Primary annual filing used for LTM operating and balance-sheet data.</t>
        </is>
      </c>
    </row>
    <row r="10" ht="33" customHeight="1">
      <c r="B10" s="11" t="inlineStr">
        <is>
          <t>Public Company</t>
        </is>
      </c>
      <c r="C10" s="11" t="inlineStr">
        <is>
          <t>Moody's</t>
        </is>
      </c>
      <c r="D10" s="11" t="inlineStr">
        <is>
          <t>2025 10-K</t>
        </is>
      </c>
      <c r="E10" s="12" t="inlineStr">
        <is>
          <t>2025-12-31</t>
        </is>
      </c>
      <c r="F10" s="12" t="inlineStr">
        <is>
          <t>https://www.sec.gov/Archives/edgar/data/1059556/000162828026009136/mco-20251231.htm</t>
        </is>
      </c>
      <c r="G10" s="12" t="inlineStr">
        <is>
          <t>data/raw/reference_html/mco_2025_10k.html</t>
        </is>
      </c>
      <c r="H10" s="12" t="inlineStr">
        <is>
          <t>Primary annual filing used for LTM operating and balance-sheet data.</t>
        </is>
      </c>
    </row>
    <row r="11" ht="33" customHeight="1">
      <c r="B11" s="13" t="inlineStr">
        <is>
          <t>Public Company</t>
        </is>
      </c>
      <c r="C11" s="13" t="inlineStr">
        <is>
          <t>S&amp;P Global</t>
        </is>
      </c>
      <c r="D11" s="13" t="inlineStr">
        <is>
          <t>2025 10-K</t>
        </is>
      </c>
      <c r="E11" s="14" t="inlineStr">
        <is>
          <t>2025-12-31</t>
        </is>
      </c>
      <c r="F11" s="14" t="inlineStr">
        <is>
          <t>https://www.sec.gov/Archives/edgar/data/64040/000006404026000013/spgi-20251231.htm</t>
        </is>
      </c>
      <c r="G11" s="14" t="inlineStr">
        <is>
          <t>data/raw/reference_html/spgi_2025_10k.html</t>
        </is>
      </c>
      <c r="H11" s="14" t="inlineStr">
        <is>
          <t>Primary annual filing used for LTM operating and balance-sheet data.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2026-04-23T17:34:13Z</dcterms:created>
  <dcterms:modified xsi:type="dcterms:W3CDTF">2026-04-23T18:35:07+00:00Z</dcterms:modified>
  <cp:lastModifiedBy>Jordan Mahmood</cp:lastModifiedBy>
</cp:coreProperties>
</file>