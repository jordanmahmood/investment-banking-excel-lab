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Transaction" sheetId="4" state="visible" r:id="rId4"/>
    <sheet xmlns:r="http://schemas.openxmlformats.org/officeDocument/2006/relationships" name="Operating_Case" sheetId="5" state="visible" r:id="rId5"/>
    <sheet xmlns:r="http://schemas.openxmlformats.org/officeDocument/2006/relationships" name="Debt_Schedule" sheetId="6" state="visible" r:id="rId6"/>
    <sheet xmlns:r="http://schemas.openxmlformats.org/officeDocument/2006/relationships" name="Returns" sheetId="7" state="visible" r:id="rId7"/>
    <sheet xmlns:r="http://schemas.openxmlformats.org/officeDocument/2006/relationships" name="Sensitivities" sheetId="8" state="visible" r:id="rId8"/>
    <sheet xmlns:r="http://schemas.openxmlformats.org/officeDocument/2006/relationships" name="Output" sheetId="9" state="visible" r:id="rId9"/>
    <sheet xmlns:r="http://schemas.openxmlformats.org/officeDocument/2006/relationships" name="Checks" sheetId="10" state="visible" r:id="rId10"/>
    <sheet xmlns:r="http://schemas.openxmlformats.org/officeDocument/2006/relationships" name="Source_Notes" sheetId="11" state="visible" r:id="rId1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#,##0.0"/>
    <numFmt numFmtId="166" formatCode="0.0%"/>
    <numFmt numFmtId="167" formatCode="0.00x"/>
    <numFmt numFmtId="168" formatCode="$#,##0.0"/>
    <numFmt numFmtId="169" formatCode="0.0x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0000FF"/>
      <sz val="10"/>
    </font>
    <font>
      <name val="Calibri"/>
      <b val="1"/>
      <color rgb="00FFFFFF"/>
      <sz val="10"/>
    </font>
    <font>
      <name val="Calibri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EEF2F7"/>
      </patternFill>
    </fill>
    <fill>
      <patternFill patternType="solid">
        <fgColor rgb="001E3A5F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167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68" fontId="6" fillId="3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7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169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Dun &amp; Bradstreet LBO Model | Full Track</t>
        </is>
      </c>
      <c r="C2" s="31" t="n"/>
      <c r="D2" s="31" t="n"/>
      <c r="E2" s="31" t="n"/>
      <c r="F2" s="31" t="n"/>
      <c r="G2" s="31" t="n"/>
      <c r="H2" s="32" t="n"/>
    </row>
    <row r="3" ht="20" customHeight="1">
      <c r="B3" s="33" t="n"/>
      <c r="H3" s="34" t="n"/>
    </row>
    <row r="4" ht="20" customHeight="1">
      <c r="B4" s="35" t="n"/>
      <c r="C4" s="36" t="n"/>
      <c r="D4" s="36" t="n"/>
      <c r="E4" s="36" t="n"/>
      <c r="F4" s="36" t="n"/>
      <c r="G4" s="36" t="n"/>
      <c r="H4" s="37" t="n"/>
    </row>
    <row r="5" ht="24" customHeight="1">
      <c r="B5" s="38" t="inlineStr">
        <is>
          <t>Formula-driven sponsor model with linked assumptions, debt rollforward, and return outputs.</t>
        </is>
      </c>
    </row>
    <row r="6" ht="20" customHeight="1"/>
    <row r="7" ht="24" customHeight="1">
      <c r="B7" s="6" t="inlineStr">
        <is>
          <t>• This version is built as a live model rather than a mostly pre-populated answer key.</t>
        </is>
      </c>
    </row>
    <row r="8" ht="24" customHeight="1">
      <c r="B8" s="6" t="inlineStr">
        <is>
          <t>• The operating case, debt schedule, and returns all link back to centralized assumptions.</t>
        </is>
      </c>
    </row>
    <row r="9" ht="24" customHeight="1">
      <c r="B9" s="6" t="inlineStr">
        <is>
          <t>• Sensitivity output is included to mirror timed analyst-test presentation standards.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Build Sequence</t>
        </is>
      </c>
      <c r="C2" s="39" t="n"/>
      <c r="D2" s="39" t="n"/>
      <c r="E2" s="39" t="n"/>
      <c r="F2" s="39" t="n"/>
      <c r="G2" s="39" t="n"/>
      <c r="H2" s="40" t="n"/>
    </row>
    <row r="3"/>
    <row r="4" ht="19.5" customHeight="1">
      <c r="B4" s="5" t="n">
        <v>1</v>
      </c>
      <c r="C4" s="6" t="inlineStr">
        <is>
          <t>Populate Assumptions first, then audit the Transaction bridge before modeling operations.</t>
        </is>
      </c>
    </row>
    <row r="5"/>
    <row r="6" ht="19.5" customHeight="1">
      <c r="B6" s="5" t="n">
        <v>2</v>
      </c>
      <c r="C6" s="6" t="inlineStr">
        <is>
          <t>Build Operating_Case, then the Debt_Schedule, then Returns and Sensitivities.</t>
        </is>
      </c>
    </row>
    <row r="7"/>
    <row r="8" ht="19.5" customHeight="1">
      <c r="B8" s="5" t="n">
        <v>3</v>
      </c>
      <c r="C8" s="6" t="inlineStr">
        <is>
          <t>Treat Output as the presentation tab and Checks as the model-control tab.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4" t="inlineStr">
        <is>
          <t>LBO Inputs</t>
        </is>
      </c>
      <c r="C2" s="39" t="n"/>
      <c r="D2" s="39" t="n"/>
      <c r="E2" s="39" t="n"/>
      <c r="F2" s="39" t="n"/>
      <c r="G2" s="39" t="n"/>
      <c r="H2" s="39" t="n"/>
      <c r="I2" s="40" t="n"/>
    </row>
    <row r="3"/>
    <row r="4" ht="19.5" customHeight="1">
      <c r="B4" s="7" t="inlineStr">
        <is>
          <t>Offer Price</t>
        </is>
      </c>
      <c r="C4" s="8" t="n">
        <v>9.15</v>
      </c>
    </row>
    <row r="5" ht="19.5" customHeight="1">
      <c r="B5" s="7" t="inlineStr">
        <is>
          <t>Shares Outstanding (mm)</t>
        </is>
      </c>
      <c r="C5" s="9" t="n">
        <v>441.516369</v>
      </c>
    </row>
    <row r="6" ht="19.5" customHeight="1">
      <c r="B6" s="7" t="inlineStr">
        <is>
          <t>Debt Refinancing ($mm)</t>
        </is>
      </c>
      <c r="C6" s="9" t="n">
        <v>3497.7</v>
      </c>
    </row>
    <row r="7" ht="19.5" customHeight="1">
      <c r="B7" s="7" t="inlineStr">
        <is>
          <t>Fees &amp; Expenses ($mm)</t>
        </is>
      </c>
      <c r="C7" s="9" t="n">
        <v>161.9</v>
      </c>
    </row>
    <row r="8" ht="19.5" customHeight="1">
      <c r="B8" s="7" t="inlineStr">
        <is>
          <t>Revolver ($mm)</t>
        </is>
      </c>
      <c r="C8" s="9" t="n">
        <v>300</v>
      </c>
    </row>
    <row r="9" ht="19.5" customHeight="1">
      <c r="B9" s="7" t="inlineStr">
        <is>
          <t>Term Loan B ($mm)</t>
        </is>
      </c>
      <c r="C9" s="9" t="n">
        <v>3200</v>
      </c>
    </row>
    <row r="10" ht="19.5" customHeight="1">
      <c r="B10" s="7" t="inlineStr">
        <is>
          <t>Senior Notes ($mm)</t>
        </is>
      </c>
      <c r="C10" s="9" t="n">
        <v>1200</v>
      </c>
    </row>
    <row r="11" ht="19.5" customHeight="1">
      <c r="B11" s="7" t="inlineStr">
        <is>
          <t>Revolver Rate</t>
        </is>
      </c>
      <c r="C11" s="10" t="n">
        <v>0.07099999999999999</v>
      </c>
    </row>
    <row r="12" ht="19.5" customHeight="1">
      <c r="B12" s="7" t="inlineStr">
        <is>
          <t>TLB Rate</t>
        </is>
      </c>
      <c r="C12" s="10" t="n">
        <v>0.076</v>
      </c>
    </row>
    <row r="13" ht="19.5" customHeight="1">
      <c r="B13" s="7" t="inlineStr">
        <is>
          <t>Senior Notes Rate</t>
        </is>
      </c>
      <c r="C13" s="10" t="n">
        <v>0.08500000000000001</v>
      </c>
    </row>
    <row r="14" ht="33" customHeight="1">
      <c r="B14" s="41" t="inlineStr">
        <is>
          <t>Mandatory TLB Amortization ($mm)</t>
        </is>
      </c>
      <c r="C14" s="9" t="n">
        <v>32</v>
      </c>
    </row>
    <row r="15" ht="19.5" customHeight="1">
      <c r="B15" s="7" t="inlineStr">
        <is>
          <t>Exit Multiple</t>
        </is>
      </c>
      <c r="C15" s="11" t="n">
        <v>8</v>
      </c>
    </row>
    <row r="16" ht="33" customHeight="1">
      <c r="B16" s="41" t="inlineStr">
        <is>
          <t>Incremental NWC % of Sales Growth</t>
        </is>
      </c>
      <c r="C16" s="10" t="n">
        <v>0.005</v>
      </c>
    </row>
    <row r="17"/>
    <row r="18"/>
    <row r="19"/>
    <row r="20">
      <c r="D20" s="12" t="n">
        <v>2025</v>
      </c>
      <c r="E20" s="12" t="n">
        <v>2026</v>
      </c>
      <c r="F20" s="12" t="n">
        <v>2027</v>
      </c>
      <c r="G20" s="12" t="n">
        <v>2028</v>
      </c>
      <c r="H20" s="12" t="n">
        <v>2029</v>
      </c>
      <c r="I20" s="12" t="n">
        <v>2030</v>
      </c>
    </row>
    <row r="21" ht="19.5" customHeight="1">
      <c r="B21" s="7" t="inlineStr">
        <is>
          <t>Revenue Base / Growth</t>
        </is>
      </c>
      <c r="D21" s="13" t="n">
        <v>2470</v>
      </c>
      <c r="E21" s="13" t="n"/>
      <c r="F21" s="13" t="n"/>
      <c r="G21" s="13" t="n"/>
      <c r="H21" s="13" t="n"/>
      <c r="I21" s="13" t="n"/>
    </row>
    <row r="22" ht="19.5" customHeight="1">
      <c r="B22" s="7" t="inlineStr">
        <is>
          <t>Revenue Growth</t>
        </is>
      </c>
      <c r="D22" s="14" t="n">
        <v>0</v>
      </c>
      <c r="E22" s="14" t="n">
        <v>0.03200000000000003</v>
      </c>
      <c r="F22" s="14" t="n">
        <v>0.02900000000000014</v>
      </c>
      <c r="G22" s="14" t="n">
        <v>0.0259999999999998</v>
      </c>
      <c r="H22" s="14" t="n">
        <v>0.02499999999999991</v>
      </c>
      <c r="I22" s="14" t="n">
        <v>0.02200000000000002</v>
      </c>
    </row>
    <row r="23" ht="19.5" customHeight="1">
      <c r="B23" s="7" t="inlineStr">
        <is>
          <t>EBITDA Margin</t>
        </is>
      </c>
      <c r="D23" s="14" t="n">
        <v>0.3927125506072874</v>
      </c>
      <c r="E23" s="14" t="n">
        <v>0.396</v>
      </c>
      <c r="F23" s="14" t="n">
        <v>0.399</v>
      </c>
      <c r="G23" s="14" t="n">
        <v>0.401</v>
      </c>
      <c r="H23" s="14" t="n">
        <v>0.403</v>
      </c>
      <c r="I23" s="14" t="n">
        <v>0.405</v>
      </c>
    </row>
    <row r="24" ht="19.5" customHeight="1">
      <c r="B24" s="7" t="inlineStr">
        <is>
          <t>D&amp;A ($mm)</t>
        </is>
      </c>
      <c r="D24" s="15" t="n">
        <v>165</v>
      </c>
      <c r="E24" s="15" t="n">
        <v>168</v>
      </c>
      <c r="F24" s="15" t="n">
        <v>170</v>
      </c>
      <c r="G24" s="15" t="n">
        <v>172</v>
      </c>
      <c r="H24" s="15" t="n">
        <v>175</v>
      </c>
      <c r="I24" s="15" t="n">
        <v>177</v>
      </c>
    </row>
    <row r="25" ht="19.5" customHeight="1">
      <c r="B25" s="7" t="inlineStr">
        <is>
          <t>Capex ($mm)</t>
        </is>
      </c>
      <c r="D25" s="15" t="n">
        <v>195</v>
      </c>
      <c r="E25" s="15" t="n">
        <v>193</v>
      </c>
      <c r="F25" s="15" t="n">
        <v>192</v>
      </c>
      <c r="G25" s="15" t="n">
        <v>190</v>
      </c>
      <c r="H25" s="15" t="n">
        <v>188</v>
      </c>
      <c r="I25" s="15" t="n">
        <v>185</v>
      </c>
    </row>
    <row r="26" ht="19.5" customHeight="1">
      <c r="B26" s="7" t="inlineStr">
        <is>
          <t>Cash Tax Rate</t>
        </is>
      </c>
      <c r="D26" s="14" t="n">
        <v>0.225</v>
      </c>
      <c r="E26" s="14" t="n">
        <v>0.225</v>
      </c>
      <c r="F26" s="14" t="n">
        <v>0.225</v>
      </c>
      <c r="G26" s="14" t="n">
        <v>0.225</v>
      </c>
      <c r="H26" s="14" t="n">
        <v>0.225</v>
      </c>
      <c r="I26" s="14" t="n">
        <v>0.225</v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3" customWidth="1" min="4" max="4"/>
    <col width="24" customWidth="1" min="5" max="5"/>
    <col width="16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Sources &amp; Uses ($mm)</t>
        </is>
      </c>
      <c r="C2" s="39" t="n"/>
      <c r="D2" s="39" t="n"/>
      <c r="E2" s="39" t="n"/>
      <c r="F2" s="39" t="n"/>
      <c r="G2" s="39" t="n"/>
      <c r="H2" s="40" t="n"/>
    </row>
    <row r="3"/>
    <row r="4" ht="19.5" customHeight="1">
      <c r="B4" s="7" t="inlineStr">
        <is>
          <t>Equity Purchase</t>
        </is>
      </c>
      <c r="C4" s="16">
        <f>Assumptions!C4*Assumptions!C5</f>
        <v/>
      </c>
      <c r="E4" s="7" t="inlineStr">
        <is>
          <t>Revolver</t>
        </is>
      </c>
      <c r="F4" s="9">
        <f>Assumptions!C8</f>
        <v/>
      </c>
    </row>
    <row r="5" ht="19.5" customHeight="1">
      <c r="B5" s="7" t="inlineStr">
        <is>
          <t>Debt Refinancing</t>
        </is>
      </c>
      <c r="C5" s="16">
        <f>Assumptions!C6</f>
        <v/>
      </c>
      <c r="E5" s="7" t="inlineStr">
        <is>
          <t>Term Loan B</t>
        </is>
      </c>
      <c r="F5" s="9">
        <f>Assumptions!C9</f>
        <v/>
      </c>
    </row>
    <row r="6" ht="19.5" customHeight="1">
      <c r="B6" s="7" t="inlineStr">
        <is>
          <t>Fees &amp; Expenses</t>
        </is>
      </c>
      <c r="C6" s="16">
        <f>Assumptions!C7</f>
        <v/>
      </c>
      <c r="E6" s="7" t="inlineStr">
        <is>
          <t>Senior Notes</t>
        </is>
      </c>
      <c r="F6" s="9">
        <f>Assumptions!C10</f>
        <v/>
      </c>
    </row>
    <row r="7" ht="19.5" customHeight="1">
      <c r="B7" s="7" t="inlineStr">
        <is>
          <t>Total Uses</t>
        </is>
      </c>
      <c r="C7" s="16">
        <f>SUM(C4:C6)</f>
        <v/>
      </c>
      <c r="E7" s="7" t="inlineStr">
        <is>
          <t>Sponsor Equity</t>
        </is>
      </c>
      <c r="F7" s="9">
        <f>C7-SUM(F4:F6)</f>
        <v/>
      </c>
    </row>
    <row r="8" ht="19.5" customHeight="1">
      <c r="E8" s="7" t="inlineStr">
        <is>
          <t>Total Sources</t>
        </is>
      </c>
      <c r="F8" s="16">
        <f>SUM(F4:F7)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4" t="inlineStr">
        <is>
          <t>Operating Case ($mm)</t>
        </is>
      </c>
      <c r="C2" s="39" t="n"/>
      <c r="D2" s="39" t="n"/>
      <c r="E2" s="39" t="n"/>
      <c r="F2" s="39" t="n"/>
      <c r="G2" s="39" t="n"/>
      <c r="H2" s="39" t="n"/>
      <c r="I2" s="40" t="n"/>
    </row>
    <row r="3"/>
    <row r="4">
      <c r="D4" s="12" t="n">
        <v>2025</v>
      </c>
      <c r="E4" s="12" t="n">
        <v>2026</v>
      </c>
      <c r="F4" s="12" t="n">
        <v>2027</v>
      </c>
      <c r="G4" s="12" t="n">
        <v>2028</v>
      </c>
      <c r="H4" s="12" t="n">
        <v>2029</v>
      </c>
      <c r="I4" s="12" t="n">
        <v>2030</v>
      </c>
    </row>
    <row r="5" ht="19.5" customHeight="1">
      <c r="B5" s="7" t="inlineStr">
        <is>
          <t>Revenue</t>
        </is>
      </c>
      <c r="D5" s="17">
        <f>Assumptions!D21</f>
        <v/>
      </c>
      <c r="E5" s="17">
        <f>D5*(1+Assumptions!E22)</f>
        <v/>
      </c>
      <c r="F5" s="17">
        <f>E5*(1+Assumptions!F22)</f>
        <v/>
      </c>
      <c r="G5" s="17">
        <f>F5*(1+Assumptions!G22)</f>
        <v/>
      </c>
      <c r="H5" s="17">
        <f>G5*(1+Assumptions!H22)</f>
        <v/>
      </c>
      <c r="I5" s="17">
        <f>H5*(1+Assumptions!I22)</f>
        <v/>
      </c>
    </row>
    <row r="6" ht="19.5" customHeight="1">
      <c r="B6" s="7" t="inlineStr">
        <is>
          <t>Revenue Growth</t>
        </is>
      </c>
      <c r="D6" s="18" t="inlineStr">
        <is>
          <t>0</t>
        </is>
      </c>
      <c r="E6" s="18">
        <f>Assumptions!E22</f>
        <v/>
      </c>
      <c r="F6" s="18">
        <f>Assumptions!F22</f>
        <v/>
      </c>
      <c r="G6" s="18">
        <f>Assumptions!G22</f>
        <v/>
      </c>
      <c r="H6" s="18">
        <f>Assumptions!H22</f>
        <v/>
      </c>
      <c r="I6" s="18">
        <f>Assumptions!I22</f>
        <v/>
      </c>
    </row>
    <row r="7" ht="19.5" customHeight="1">
      <c r="B7" s="7" t="inlineStr">
        <is>
          <t>EBITDA Margin</t>
        </is>
      </c>
      <c r="D7" s="19">
        <f>Assumptions!D23</f>
        <v/>
      </c>
      <c r="E7" s="19">
        <f>Assumptions!E23</f>
        <v/>
      </c>
      <c r="F7" s="19">
        <f>Assumptions!F23</f>
        <v/>
      </c>
      <c r="G7" s="19">
        <f>Assumptions!G23</f>
        <v/>
      </c>
      <c r="H7" s="19">
        <f>Assumptions!H23</f>
        <v/>
      </c>
      <c r="I7" s="19">
        <f>Assumptions!I23</f>
        <v/>
      </c>
    </row>
    <row r="8" ht="19.5" customHeight="1">
      <c r="B8" s="7" t="inlineStr">
        <is>
          <t>EBITDA</t>
        </is>
      </c>
      <c r="D8" s="20">
        <f>D5*D7</f>
        <v/>
      </c>
      <c r="E8" s="20">
        <f>E5*E7</f>
        <v/>
      </c>
      <c r="F8" s="20">
        <f>F5*F7</f>
        <v/>
      </c>
      <c r="G8" s="20">
        <f>G5*G7</f>
        <v/>
      </c>
      <c r="H8" s="20">
        <f>H5*H7</f>
        <v/>
      </c>
      <c r="I8" s="20">
        <f>I5*I7</f>
        <v/>
      </c>
    </row>
    <row r="9" ht="19.5" customHeight="1">
      <c r="B9" s="7" t="inlineStr">
        <is>
          <t>D&amp;A</t>
        </is>
      </c>
      <c r="D9" s="17">
        <f>Assumptions!D24</f>
        <v/>
      </c>
      <c r="E9" s="17">
        <f>Assumptions!E24</f>
        <v/>
      </c>
      <c r="F9" s="17">
        <f>Assumptions!F24</f>
        <v/>
      </c>
      <c r="G9" s="17">
        <f>Assumptions!G24</f>
        <v/>
      </c>
      <c r="H9" s="17">
        <f>Assumptions!H24</f>
        <v/>
      </c>
      <c r="I9" s="17">
        <f>Assumptions!I24</f>
        <v/>
      </c>
    </row>
    <row r="10" ht="19.5" customHeight="1">
      <c r="B10" s="7" t="inlineStr">
        <is>
          <t>EBIT</t>
        </is>
      </c>
      <c r="D10" s="20">
        <f>D8-D9</f>
        <v/>
      </c>
      <c r="E10" s="20">
        <f>E8-E9</f>
        <v/>
      </c>
      <c r="F10" s="20">
        <f>F8-F9</f>
        <v/>
      </c>
      <c r="G10" s="20">
        <f>G8-G9</f>
        <v/>
      </c>
      <c r="H10" s="20">
        <f>H8-H9</f>
        <v/>
      </c>
      <c r="I10" s="20">
        <f>I8-I9</f>
        <v/>
      </c>
    </row>
    <row r="11" ht="19.5" customHeight="1">
      <c r="B11" s="7" t="inlineStr">
        <is>
          <t>Cash Tax Rate</t>
        </is>
      </c>
      <c r="D11" s="19">
        <f>Assumptions!D26</f>
        <v/>
      </c>
      <c r="E11" s="19">
        <f>Assumptions!E26</f>
        <v/>
      </c>
      <c r="F11" s="19">
        <f>Assumptions!F26</f>
        <v/>
      </c>
      <c r="G11" s="19">
        <f>Assumptions!G26</f>
        <v/>
      </c>
      <c r="H11" s="19">
        <f>Assumptions!H26</f>
        <v/>
      </c>
      <c r="I11" s="19">
        <f>Assumptions!I26</f>
        <v/>
      </c>
    </row>
    <row r="12" ht="19.5" customHeight="1">
      <c r="B12" s="7" t="inlineStr">
        <is>
          <t>Cash Taxes</t>
        </is>
      </c>
      <c r="D12" s="20">
        <f>D10*D11</f>
        <v/>
      </c>
      <c r="E12" s="20">
        <f>E10*E11</f>
        <v/>
      </c>
      <c r="F12" s="20">
        <f>F10*F11</f>
        <v/>
      </c>
      <c r="G12" s="20">
        <f>G10*G11</f>
        <v/>
      </c>
      <c r="H12" s="20">
        <f>H10*H11</f>
        <v/>
      </c>
      <c r="I12" s="20">
        <f>I10*I11</f>
        <v/>
      </c>
    </row>
    <row r="13" ht="19.5" customHeight="1">
      <c r="B13" s="7" t="inlineStr">
        <is>
          <t>Capex</t>
        </is>
      </c>
      <c r="D13" s="17">
        <f>Assumptions!D25</f>
        <v/>
      </c>
      <c r="E13" s="17">
        <f>Assumptions!E25</f>
        <v/>
      </c>
      <c r="F13" s="17">
        <f>Assumptions!F25</f>
        <v/>
      </c>
      <c r="G13" s="17">
        <f>Assumptions!G25</f>
        <v/>
      </c>
      <c r="H13" s="17">
        <f>Assumptions!H25</f>
        <v/>
      </c>
      <c r="I13" s="17">
        <f>Assumptions!I25</f>
        <v/>
      </c>
    </row>
    <row r="14" ht="19.5" customHeight="1">
      <c r="B14" s="7" t="inlineStr">
        <is>
          <t>Change in NWC</t>
        </is>
      </c>
      <c r="D14" s="20" t="inlineStr">
        <is>
          <t>0</t>
        </is>
      </c>
      <c r="E14" s="20">
        <f>MAX((E5-D5)*Assumptions!C16,0)</f>
        <v/>
      </c>
      <c r="F14" s="20">
        <f>MAX((F5-E5)*Assumptions!C16,0)</f>
        <v/>
      </c>
      <c r="G14" s="20">
        <f>MAX((G5-F5)*Assumptions!C16,0)</f>
        <v/>
      </c>
      <c r="H14" s="20">
        <f>MAX((H5-G5)*Assumptions!C16,0)</f>
        <v/>
      </c>
      <c r="I14" s="20">
        <f>MAX((I5-H5)*Assumptions!C16,0)</f>
        <v/>
      </c>
    </row>
    <row r="15" ht="19.5" customHeight="1">
      <c r="B15" s="7" t="inlineStr">
        <is>
          <t>Pre-Interest FCF</t>
        </is>
      </c>
      <c r="D15" s="17">
        <f>D8-D12-D13-D14</f>
        <v/>
      </c>
      <c r="E15" s="17">
        <f>E8-E12-E13-E14</f>
        <v/>
      </c>
      <c r="F15" s="17">
        <f>F8-F12-F13-F14</f>
        <v/>
      </c>
      <c r="G15" s="17">
        <f>G8-G12-G13-G14</f>
        <v/>
      </c>
      <c r="H15" s="17">
        <f>H8-H12-H13-H14</f>
        <v/>
      </c>
      <c r="I15" s="17">
        <f>I8-I12-I13-I14</f>
        <v/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4" t="inlineStr">
        <is>
          <t>Debt Schedule ($mm)</t>
        </is>
      </c>
      <c r="C2" s="39" t="n"/>
      <c r="D2" s="39" t="n"/>
      <c r="E2" s="39" t="n"/>
      <c r="F2" s="39" t="n"/>
      <c r="G2" s="39" t="n"/>
      <c r="H2" s="39" t="n"/>
      <c r="I2" s="40" t="n"/>
    </row>
    <row r="3"/>
    <row r="4">
      <c r="D4" s="12" t="n">
        <v>2025</v>
      </c>
      <c r="E4" s="12" t="n">
        <v>2026</v>
      </c>
      <c r="F4" s="12" t="n">
        <v>2027</v>
      </c>
      <c r="G4" s="12" t="n">
        <v>2028</v>
      </c>
      <c r="H4" s="12" t="n">
        <v>2029</v>
      </c>
      <c r="I4" s="12" t="n">
        <v>2030</v>
      </c>
    </row>
    <row r="5" ht="19.5" customHeight="1">
      <c r="B5" s="7" t="inlineStr">
        <is>
          <t>Beginning Revolver</t>
        </is>
      </c>
      <c r="D5" s="17">
        <f>Transaction!F4</f>
        <v/>
      </c>
      <c r="E5" s="17">
        <f>D12</f>
        <v/>
      </c>
      <c r="F5" s="17">
        <f>E12</f>
        <v/>
      </c>
      <c r="G5" s="17">
        <f>F12</f>
        <v/>
      </c>
      <c r="H5" s="17">
        <f>G12</f>
        <v/>
      </c>
      <c r="I5" s="17">
        <f>H12</f>
        <v/>
      </c>
    </row>
    <row r="6" ht="19.5" customHeight="1">
      <c r="B6" s="7" t="inlineStr">
        <is>
          <t>Beginning TLB</t>
        </is>
      </c>
      <c r="D6" s="20">
        <f>Transaction!F5</f>
        <v/>
      </c>
      <c r="E6" s="20">
        <f>D13</f>
        <v/>
      </c>
      <c r="F6" s="20">
        <f>E13</f>
        <v/>
      </c>
      <c r="G6" s="20">
        <f>F13</f>
        <v/>
      </c>
      <c r="H6" s="20">
        <f>G13</f>
        <v/>
      </c>
      <c r="I6" s="20">
        <f>H13</f>
        <v/>
      </c>
    </row>
    <row r="7" ht="19.5" customHeight="1">
      <c r="B7" s="7" t="inlineStr">
        <is>
          <t>Beginning Notes</t>
        </is>
      </c>
      <c r="D7" s="17">
        <f>Transaction!F6</f>
        <v/>
      </c>
      <c r="E7" s="17">
        <f>D14</f>
        <v/>
      </c>
      <c r="F7" s="17">
        <f>E14</f>
        <v/>
      </c>
      <c r="G7" s="17">
        <f>F14</f>
        <v/>
      </c>
      <c r="H7" s="17">
        <f>G14</f>
        <v/>
      </c>
      <c r="I7" s="17">
        <f>H14</f>
        <v/>
      </c>
    </row>
    <row r="8" ht="19.5" customHeight="1">
      <c r="B8" s="7" t="inlineStr">
        <is>
          <t>Interest Expense</t>
        </is>
      </c>
      <c r="D8" s="20">
        <f>D5*Assumptions!C11+D6*Assumptions!C12+D7*Assumptions!C13</f>
        <v/>
      </c>
      <c r="E8" s="20">
        <f>E5*Assumptions!C11+E6*Assumptions!C12+E7*Assumptions!C13</f>
        <v/>
      </c>
      <c r="F8" s="20">
        <f>F5*Assumptions!C11+F6*Assumptions!C12+F7*Assumptions!C13</f>
        <v/>
      </c>
      <c r="G8" s="20">
        <f>G5*Assumptions!C11+G6*Assumptions!C12+G7*Assumptions!C13</f>
        <v/>
      </c>
      <c r="H8" s="20">
        <f>H5*Assumptions!C11+H6*Assumptions!C12+H7*Assumptions!C13</f>
        <v/>
      </c>
      <c r="I8" s="20">
        <f>I5*Assumptions!C11+I6*Assumptions!C12+I7*Assumptions!C13</f>
        <v/>
      </c>
    </row>
    <row r="9" ht="19.5" customHeight="1">
      <c r="B9" s="41" t="inlineStr">
        <is>
          <t>Mandatory Amortization</t>
        </is>
      </c>
      <c r="D9" s="17">
        <f>MIN(Assumptions!C14,D6)</f>
        <v/>
      </c>
      <c r="E9" s="17">
        <f>MIN(Assumptions!C14,E6)</f>
        <v/>
      </c>
      <c r="F9" s="17">
        <f>MIN(Assumptions!C14,F6)</f>
        <v/>
      </c>
      <c r="G9" s="17">
        <f>MIN(Assumptions!C14,G6)</f>
        <v/>
      </c>
      <c r="H9" s="17">
        <f>MIN(Assumptions!C14,H6)</f>
        <v/>
      </c>
      <c r="I9" s="17">
        <f>MIN(Assumptions!C14,I6)</f>
        <v/>
      </c>
    </row>
    <row r="10" ht="19.5" customHeight="1">
      <c r="B10" s="7" t="inlineStr">
        <is>
          <t>Sweep to Revolver</t>
        </is>
      </c>
      <c r="D10" s="20">
        <f>MIN(D5,MAX(Operating_Case!D15-D8-D9,0))</f>
        <v/>
      </c>
      <c r="E10" s="20">
        <f>MIN(E5,MAX(Operating_Case!E15-E8-E9,0))</f>
        <v/>
      </c>
      <c r="F10" s="20">
        <f>MIN(F5,MAX(Operating_Case!F15-F8-F9,0))</f>
        <v/>
      </c>
      <c r="G10" s="20">
        <f>MIN(G5,MAX(Operating_Case!G15-G8-G9,0))</f>
        <v/>
      </c>
      <c r="H10" s="20">
        <f>MIN(H5,MAX(Operating_Case!H15-H8-H9,0))</f>
        <v/>
      </c>
      <c r="I10" s="20">
        <f>MIN(I5,MAX(Operating_Case!I15-I8-I9,0))</f>
        <v/>
      </c>
    </row>
    <row r="11" ht="19.5" customHeight="1">
      <c r="B11" s="7" t="inlineStr">
        <is>
          <t>Sweep to TLB</t>
        </is>
      </c>
      <c r="D11" s="17">
        <f>MIN(D6-D9,MAX(Operating_Case!D15-D8-D9-D10,0))</f>
        <v/>
      </c>
      <c r="E11" s="17">
        <f>MIN(E6-E9,MAX(Operating_Case!E15-E8-E9-E10,0))</f>
        <v/>
      </c>
      <c r="F11" s="17">
        <f>MIN(F6-F9,MAX(Operating_Case!F15-F8-F9-F10,0))</f>
        <v/>
      </c>
      <c r="G11" s="17">
        <f>MIN(G6-G9,MAX(Operating_Case!G15-G8-G9-G10,0))</f>
        <v/>
      </c>
      <c r="H11" s="17">
        <f>MIN(H6-H9,MAX(Operating_Case!H15-H8-H9-H10,0))</f>
        <v/>
      </c>
      <c r="I11" s="17">
        <f>MIN(I6-I9,MAX(Operating_Case!I15-I8-I9-I10,0))</f>
        <v/>
      </c>
    </row>
    <row r="12" ht="19.5" customHeight="1">
      <c r="B12" s="7" t="inlineStr">
        <is>
          <t>Ending Revolver</t>
        </is>
      </c>
      <c r="D12" s="20">
        <f>D5-D10</f>
        <v/>
      </c>
      <c r="E12" s="20">
        <f>E5-E10</f>
        <v/>
      </c>
      <c r="F12" s="20">
        <f>F5-F10</f>
        <v/>
      </c>
      <c r="G12" s="20">
        <f>G5-G10</f>
        <v/>
      </c>
      <c r="H12" s="20">
        <f>H5-H10</f>
        <v/>
      </c>
      <c r="I12" s="20">
        <f>I5-I10</f>
        <v/>
      </c>
    </row>
    <row r="13" ht="19.5" customHeight="1">
      <c r="B13" s="7" t="inlineStr">
        <is>
          <t>Ending TLB</t>
        </is>
      </c>
      <c r="D13" s="17">
        <f>D6-D9-D11</f>
        <v/>
      </c>
      <c r="E13" s="17">
        <f>E6-E9-E11</f>
        <v/>
      </c>
      <c r="F13" s="17">
        <f>F6-F9-F11</f>
        <v/>
      </c>
      <c r="G13" s="17">
        <f>G6-G9-G11</f>
        <v/>
      </c>
      <c r="H13" s="17">
        <f>H6-H9-H11</f>
        <v/>
      </c>
      <c r="I13" s="17">
        <f>I6-I9-I11</f>
        <v/>
      </c>
    </row>
    <row r="14" ht="19.5" customHeight="1">
      <c r="B14" s="7" t="inlineStr">
        <is>
          <t>Ending Notes</t>
        </is>
      </c>
      <c r="D14" s="20">
        <f>D7</f>
        <v/>
      </c>
      <c r="E14" s="20">
        <f>E7</f>
        <v/>
      </c>
      <c r="F14" s="20">
        <f>F7</f>
        <v/>
      </c>
      <c r="G14" s="20">
        <f>G7</f>
        <v/>
      </c>
      <c r="H14" s="20">
        <f>H7</f>
        <v/>
      </c>
      <c r="I14" s="20">
        <f>I7</f>
        <v/>
      </c>
    </row>
    <row r="15" ht="19.5" customHeight="1">
      <c r="B15" s="7" t="inlineStr">
        <is>
          <t>Ending Total Debt</t>
        </is>
      </c>
      <c r="D15" s="17">
        <f>SUM(D12:D14)</f>
        <v/>
      </c>
      <c r="E15" s="17">
        <f>SUM(E12:E14)</f>
        <v/>
      </c>
      <c r="F15" s="17">
        <f>SUM(F12:F14)</f>
        <v/>
      </c>
      <c r="G15" s="17">
        <f>SUM(G12:G14)</f>
        <v/>
      </c>
      <c r="H15" s="17">
        <f>SUM(H12:H14)</f>
        <v/>
      </c>
      <c r="I15" s="17">
        <f>SUM(I12:I14)</f>
        <v/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Returns Analysis</t>
        </is>
      </c>
      <c r="C2" s="39" t="n"/>
      <c r="D2" s="39" t="n"/>
      <c r="E2" s="39" t="n"/>
      <c r="F2" s="39" t="n"/>
      <c r="G2" s="39" t="n"/>
      <c r="H2" s="40" t="n"/>
    </row>
    <row r="3"/>
    <row r="4" ht="19.5" customHeight="1">
      <c r="B4" s="7" t="inlineStr">
        <is>
          <t>Sponsor Equity Invested</t>
        </is>
      </c>
      <c r="C4" s="16">
        <f>Transaction!F7</f>
        <v/>
      </c>
    </row>
    <row r="5" ht="19.5" customHeight="1">
      <c r="B5" s="7" t="inlineStr">
        <is>
          <t>Exit EBITDA</t>
        </is>
      </c>
      <c r="C5" s="16">
        <f>Operating_Case!I8</f>
        <v/>
      </c>
    </row>
    <row r="6" ht="19.5" customHeight="1">
      <c r="B6" s="7" t="inlineStr">
        <is>
          <t>Exit Multiple</t>
        </is>
      </c>
      <c r="C6" s="21">
        <f>Assumptions!C15</f>
        <v/>
      </c>
    </row>
    <row r="7" ht="19.5" customHeight="1">
      <c r="B7" s="7" t="inlineStr">
        <is>
          <t>Exit Enterprise Value</t>
        </is>
      </c>
      <c r="C7" s="16">
        <f>C5*C6</f>
        <v/>
      </c>
    </row>
    <row r="8" ht="19.5" customHeight="1">
      <c r="B8" s="7" t="inlineStr">
        <is>
          <t>Less: Exit Debt</t>
        </is>
      </c>
      <c r="C8" s="16">
        <f>Debt_Schedule!I15</f>
        <v/>
      </c>
    </row>
    <row r="9" ht="19.5" customHeight="1">
      <c r="B9" s="7" t="inlineStr">
        <is>
          <t>Exit Equity Value</t>
        </is>
      </c>
      <c r="C9" s="16">
        <f>C7-C8</f>
        <v/>
      </c>
    </row>
    <row r="10" ht="19.5" customHeight="1">
      <c r="B10" s="7" t="inlineStr">
        <is>
          <t>MOIC</t>
        </is>
      </c>
      <c r="C10" s="21">
        <f>C9/C4</f>
        <v/>
      </c>
    </row>
    <row r="11" ht="19.5" customHeight="1">
      <c r="B11" s="7" t="inlineStr">
        <is>
          <t>5-Year IRR</t>
        </is>
      </c>
      <c r="C11" s="22">
        <f>C10^(1/5)-1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/>
    <row r="2" ht="25" customHeight="1">
      <c r="B2" s="4" t="inlineStr">
        <is>
          <t>IRR Sensitivity</t>
        </is>
      </c>
      <c r="C2" s="39" t="n"/>
      <c r="D2" s="39" t="n"/>
      <c r="E2" s="39" t="n"/>
      <c r="F2" s="39" t="n"/>
      <c r="G2" s="39" t="n"/>
      <c r="H2" s="40" t="n"/>
    </row>
    <row r="3"/>
    <row r="4">
      <c r="D4" s="23" t="n">
        <v>4</v>
      </c>
      <c r="E4" s="23" t="n">
        <v>4.5</v>
      </c>
      <c r="F4" s="23" t="n">
        <v>5</v>
      </c>
      <c r="G4" s="23" t="n">
        <v>5.5</v>
      </c>
      <c r="H4" s="23" t="n">
        <v>6</v>
      </c>
    </row>
    <row r="5">
      <c r="B5" s="23" t="n">
        <v>7</v>
      </c>
      <c r="D5" s="19" t="n">
        <v>0.06415220941697641</v>
      </c>
      <c r="E5" s="19" t="n">
        <v>0.07229826012147056</v>
      </c>
      <c r="F5" s="19" t="n">
        <v>0.08284324408868105</v>
      </c>
      <c r="G5" s="19" t="n">
        <v>0.09704967872298376</v>
      </c>
      <c r="H5" s="19" t="n">
        <v>0.1172775988630468</v>
      </c>
    </row>
    <row r="6">
      <c r="B6" s="23" t="n">
        <v>7.5</v>
      </c>
      <c r="D6" s="19" t="n">
        <v>0.08650377312015389</v>
      </c>
      <c r="E6" s="19" t="n">
        <v>0.0970296227337013</v>
      </c>
      <c r="F6" s="19" t="n">
        <v>0.1105338648715846</v>
      </c>
      <c r="G6" s="19" t="n">
        <v>0.1285278729635697</v>
      </c>
      <c r="H6" s="19" t="n">
        <v>0.1537953316346015</v>
      </c>
    </row>
    <row r="7">
      <c r="B7" s="23" t="n">
        <v>8</v>
      </c>
      <c r="D7" s="19" t="n">
        <v>0.1071543762314502</v>
      </c>
      <c r="E7" s="19" t="n">
        <v>0.1197130989433217</v>
      </c>
      <c r="F7" s="19" t="n">
        <v>0.1357099200516627</v>
      </c>
      <c r="G7" s="19" t="n">
        <v>0.1568415029925665</v>
      </c>
      <c r="H7" s="19" t="n">
        <v>0.1862013115407704</v>
      </c>
    </row>
    <row r="8">
      <c r="B8" s="23" t="n">
        <v>8.5</v>
      </c>
      <c r="D8" s="19" t="n">
        <v>0.1263701688194867</v>
      </c>
      <c r="E8" s="19" t="n">
        <v>0.1406947499120204</v>
      </c>
      <c r="F8" s="19" t="n">
        <v>0.1588332922082725</v>
      </c>
      <c r="G8" s="19" t="n">
        <v>0.1826272639318558</v>
      </c>
      <c r="H8" s="19" t="n">
        <v>0.2154100801999719</v>
      </c>
    </row>
    <row r="9">
      <c r="B9" s="23" t="n">
        <v>9</v>
      </c>
      <c r="D9" s="19" t="n">
        <v>0.1443576633079224</v>
      </c>
      <c r="E9" s="19" t="n">
        <v>0.1602374155623114</v>
      </c>
      <c r="F9" s="19" t="n">
        <v>0.1802460088104849</v>
      </c>
      <c r="G9" s="19" t="n">
        <v>0.2063424378291592</v>
      </c>
      <c r="H9" s="19" t="n">
        <v>0.2420542190864254</v>
      </c>
    </row>
  </sheetData>
  <mergeCells count="1">
    <mergeCell ref="B2:H2"/>
  </mergeCells>
  <conditionalFormatting sqref="D5:H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5" right="0.35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LBO Output</t>
        </is>
      </c>
      <c r="C2" s="39" t="n"/>
      <c r="D2" s="39" t="n"/>
      <c r="E2" s="39" t="n"/>
      <c r="F2" s="39" t="n"/>
      <c r="G2" s="39" t="n"/>
      <c r="H2" s="40" t="n"/>
    </row>
    <row r="3"/>
    <row r="4" ht="19.5" customHeight="1">
      <c r="B4" s="7" t="inlineStr">
        <is>
          <t>Entry EV</t>
        </is>
      </c>
      <c r="C4" s="16">
        <f>Transaction!C7</f>
        <v/>
      </c>
    </row>
    <row r="5" ht="19.5" customHeight="1">
      <c r="B5" s="7" t="inlineStr">
        <is>
          <t>Sponsor Equity</t>
        </is>
      </c>
      <c r="C5" s="16">
        <f>Returns!C4</f>
        <v/>
      </c>
    </row>
    <row r="6" ht="19.5" customHeight="1">
      <c r="B6" s="7" t="inlineStr">
        <is>
          <t>Exit Equity Value</t>
        </is>
      </c>
      <c r="C6" s="16">
        <f>Returns!C9</f>
        <v/>
      </c>
    </row>
    <row r="7" ht="19.5" customHeight="1">
      <c r="B7" s="7" t="inlineStr">
        <is>
          <t>MOIC</t>
        </is>
      </c>
      <c r="C7" s="21">
        <f>Returns!C10</f>
        <v/>
      </c>
    </row>
    <row r="8" ht="19.5" customHeight="1">
      <c r="B8" s="7" t="inlineStr">
        <is>
          <t>IRR</t>
        </is>
      </c>
      <c r="C8" s="22">
        <f>Returns!C11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Checks &amp; Audit</t>
        </is>
      </c>
      <c r="C2" s="39" t="n"/>
      <c r="D2" s="39" t="n"/>
      <c r="E2" s="39" t="n"/>
      <c r="F2" s="39" t="n"/>
      <c r="G2" s="39" t="n"/>
      <c r="H2" s="40" t="n"/>
    </row>
    <row r="3"/>
    <row r="4" ht="19.5" customHeight="1">
      <c r="B4" s="24" t="inlineStr">
        <is>
          <t>Check</t>
        </is>
      </c>
      <c r="C4" s="24" t="inlineStr">
        <is>
          <t>Status</t>
        </is>
      </c>
    </row>
    <row r="5" ht="19.5" customHeight="1">
      <c r="B5" s="25" t="inlineStr">
        <is>
          <t>Sources equal uses</t>
        </is>
      </c>
      <c r="C5" s="26">
        <f>IF(ABS(Transaction!C7-Transaction!F8)&lt;0.1,"OK","CHECK")</f>
        <v/>
      </c>
    </row>
    <row r="6" ht="19.5" customHeight="1">
      <c r="B6" s="27" t="inlineStr">
        <is>
          <t>Debt declines by exit year</t>
        </is>
      </c>
      <c r="C6" s="28">
        <f>IF(Debt_Schedule!I15&lt;Debt_Schedule!D15,"OK","CHECK")</f>
        <v/>
      </c>
    </row>
    <row r="7" ht="19.5" customHeight="1">
      <c r="B7" s="25" t="inlineStr">
        <is>
          <t>IRR output is numeric</t>
        </is>
      </c>
      <c r="C7" s="26">
        <f>IF(ISNUMBER(Returns!C11),"OK","CHECK")</f>
        <v/>
      </c>
    </row>
    <row r="8" ht="19.5" customHeight="1">
      <c r="B8" s="27" t="inlineStr">
        <is>
          <t>Operating case produces positive EBITDA every year</t>
        </is>
      </c>
      <c r="C8" s="28">
        <f>IF(MIN(Operating_Case!D8:I8)&gt;0,"OK","CHECK")</f>
        <v/>
      </c>
    </row>
  </sheetData>
  <mergeCells count="1">
    <mergeCell ref="B2:H2"/>
  </mergeCells>
  <conditionalFormatting sqref="C5:C8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4" t="inlineStr">
        <is>
          <t>Source Notes</t>
        </is>
      </c>
      <c r="C2" s="39" t="n"/>
      <c r="D2" s="39" t="n"/>
      <c r="E2" s="39" t="n"/>
      <c r="F2" s="39" t="n"/>
      <c r="G2" s="39" t="n"/>
      <c r="H2" s="40" t="n"/>
    </row>
    <row r="3"/>
    <row r="4" ht="19.5" customHeight="1">
      <c r="B4" s="12" t="inlineStr">
        <is>
          <t>Category</t>
        </is>
      </c>
      <c r="C4" s="12" t="inlineStr">
        <is>
          <t>Entity</t>
        </is>
      </c>
      <c r="D4" s="12" t="inlineStr">
        <is>
          <t>Document</t>
        </is>
      </c>
      <c r="E4" s="12" t="inlineStr">
        <is>
          <t>As of</t>
        </is>
      </c>
      <c r="F4" s="12" t="inlineStr">
        <is>
          <t>URL</t>
        </is>
      </c>
      <c r="G4" s="12" t="inlineStr">
        <is>
          <t>Local File</t>
        </is>
      </c>
      <c r="H4" s="12" t="inlineStr">
        <is>
          <t>Notes</t>
        </is>
      </c>
    </row>
    <row r="5" ht="33" customHeight="1">
      <c r="B5" s="25" t="inlineStr">
        <is>
          <t>LBO</t>
        </is>
      </c>
      <c r="C5" s="25" t="inlineStr">
        <is>
          <t>Dun &amp; Bradstreet</t>
        </is>
      </c>
      <c r="D5" s="25" t="inlineStr">
        <is>
          <t>2024 10-K</t>
        </is>
      </c>
      <c r="E5" s="29" t="inlineStr">
        <is>
          <t>2024-12-31</t>
        </is>
      </c>
      <c r="F5" s="29" t="inlineStr">
        <is>
          <t>https://www.sec.gov/Archives/edgar/data/1799208/000179920825000012/dnb-20241231.htm</t>
        </is>
      </c>
      <c r="G5" s="29" t="inlineStr">
        <is>
          <t>data/raw/reference_html/dnb_2024_10k.html</t>
        </is>
      </c>
      <c r="H5" s="29" t="inlineStr">
        <is>
          <t>Historical GAAP actuals and capital structure.</t>
        </is>
      </c>
    </row>
    <row r="6" ht="46.5" customHeight="1">
      <c r="B6" s="27" t="inlineStr">
        <is>
          <t>LBO</t>
        </is>
      </c>
      <c r="C6" s="27" t="inlineStr">
        <is>
          <t>Dun &amp; Bradstreet</t>
        </is>
      </c>
      <c r="D6" s="30" t="inlineStr">
        <is>
          <t>Q4 2024 Earnings Presentation</t>
        </is>
      </c>
      <c r="E6" s="30" t="inlineStr">
        <is>
          <t>2025-02-20</t>
        </is>
      </c>
      <c r="F6" s="30" t="inlineStr">
        <is>
          <t>https://www.sec.gov/Archives/edgar/data/1799208/000179920825000008/dbearningspresentationq4.htm</t>
        </is>
      </c>
      <c r="G6" s="30" t="inlineStr">
        <is>
          <t>data/raw/reference_html/dnb_2025_guidance.html</t>
        </is>
      </c>
      <c r="H6" s="30" t="inlineStr">
        <is>
          <t>Management 2025 revenue, EBITDA, D&amp;A, tax, and capex guidance.</t>
        </is>
      </c>
    </row>
    <row r="7" ht="33" customHeight="1">
      <c r="B7" s="25" t="inlineStr">
        <is>
          <t>LBO</t>
        </is>
      </c>
      <c r="C7" s="25" t="inlineStr">
        <is>
          <t>Dun &amp; Bradstreet</t>
        </is>
      </c>
      <c r="D7" s="25" t="inlineStr">
        <is>
          <t>Acquisition Announcement</t>
        </is>
      </c>
      <c r="E7" s="29" t="inlineStr">
        <is>
          <t>2025-03-24</t>
        </is>
      </c>
      <c r="F7" s="29" t="inlineStr">
        <is>
          <t>https://www.sec.gov/Archives/edgar/data/1799208/000110465925027293/tm2510133d1_ex99-1.htm</t>
        </is>
      </c>
      <c r="G7" s="29" t="inlineStr">
        <is>
          <t>data/raw/reference_html/dnb_deal_announcement.html</t>
        </is>
      </c>
      <c r="H7" s="29" t="inlineStr">
        <is>
          <t>Offer price and headline transaction valuation.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2026-04-23T17:34:14Z</dcterms:created>
  <dcterms:modified xsi:type="dcterms:W3CDTF">2026-04-23T18:33:13+00:00Z</dcterms:modified>
  <cp:lastModifiedBy>Jordan Mahmood</cp:lastModifiedBy>
</cp:coreProperties>
</file>