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Buyer" sheetId="4" state="visible" r:id="rId4"/>
    <sheet xmlns:r="http://schemas.openxmlformats.org/officeDocument/2006/relationships" name="Target" sheetId="5" state="visible" r:id="rId5"/>
    <sheet xmlns:r="http://schemas.openxmlformats.org/officeDocument/2006/relationships" name="Deal_Structure" sheetId="6" state="visible" r:id="rId6"/>
    <sheet xmlns:r="http://schemas.openxmlformats.org/officeDocument/2006/relationships" name="Accretion_Dilution" sheetId="7" state="visible" r:id="rId7"/>
    <sheet xmlns:r="http://schemas.openxmlformats.org/officeDocument/2006/relationships" name="Sensitivities" sheetId="8" state="visible" r:id="rId8"/>
    <sheet xmlns:r="http://schemas.openxmlformats.org/officeDocument/2006/relationships" name="Outpu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Not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$#,##0.00"/>
    <numFmt numFmtId="166" formatCode="0.0%"/>
    <numFmt numFmtId="167" formatCode="0.000x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E3A5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Hypothetical Accretion / Dilution Model | Full Track</t>
        </is>
      </c>
      <c r="C2" s="26" t="n"/>
      <c r="D2" s="26" t="n"/>
      <c r="E2" s="26" t="n"/>
      <c r="F2" s="26" t="n"/>
      <c r="G2" s="26" t="n"/>
      <c r="H2" s="27" t="n"/>
    </row>
    <row r="3" ht="20" customHeight="1">
      <c r="B3" s="28" t="n"/>
      <c r="H3" s="29" t="n"/>
    </row>
    <row r="4" ht="20" customHeight="1">
      <c r="B4" s="30" t="n"/>
      <c r="C4" s="31" t="n"/>
      <c r="D4" s="31" t="n"/>
      <c r="E4" s="31" t="n"/>
      <c r="F4" s="31" t="n"/>
      <c r="G4" s="31" t="n"/>
      <c r="H4" s="32" t="n"/>
    </row>
    <row r="5" ht="24" customHeight="1">
      <c r="B5" s="33" t="inlineStr">
        <is>
          <t>Illustrative strategic acquisition case: S&amp;P Global as buyer, TransUnion as target.</t>
        </is>
      </c>
    </row>
    <row r="6" ht="20" customHeight="1"/>
    <row r="7" ht="24" customHeight="1">
      <c r="B7" s="6" t="inlineStr">
        <is>
          <t>• This workbook is hypothetical and meant for merger-model mechanics, not live deal commentary.</t>
        </is>
      </c>
    </row>
    <row r="8" ht="24" customHeight="1">
      <c r="B8" s="6" t="inlineStr">
        <is>
          <t>• The case focuses on consideration mix, pro forma EPS, synergies, and financing drag.</t>
        </is>
      </c>
    </row>
    <row r="9" ht="24" customHeight="1">
      <c r="B9" s="6" t="inlineStr">
        <is>
          <t>• The output is built to mirror a timed accretion / dilution interview exercise.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Build Sequence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5" t="n">
        <v>1</v>
      </c>
      <c r="C4" s="6" t="inlineStr">
        <is>
          <t>Audit buyer and target standalone stats first.</t>
        </is>
      </c>
    </row>
    <row r="5"/>
    <row r="6" ht="19.5" customHeight="1">
      <c r="B6" s="5" t="n">
        <v>2</v>
      </c>
      <c r="C6" s="6" t="inlineStr">
        <is>
          <t>Build the deal structure and financing bridge before computing pro forma EPS.</t>
        </is>
      </c>
    </row>
    <row r="7"/>
    <row r="8" ht="19.5" customHeight="1">
      <c r="B8" s="5" t="n">
        <v>3</v>
      </c>
      <c r="C8" s="6" t="inlineStr">
        <is>
          <t>Use Sensitivities to test premium and synergy assumptions against EPS accretion / dilution.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Deal Assumptions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Buyer</t>
        </is>
      </c>
      <c r="C4" s="8" t="inlineStr">
        <is>
          <t>SPGI</t>
        </is>
      </c>
    </row>
    <row r="5" ht="19.5" customHeight="1">
      <c r="B5" s="7" t="inlineStr">
        <is>
          <t>Target</t>
        </is>
      </c>
      <c r="C5" s="8" t="inlineStr">
        <is>
          <t>TRU</t>
        </is>
      </c>
    </row>
    <row r="6" ht="19.5" customHeight="1">
      <c r="B6" s="7" t="inlineStr">
        <is>
          <t>Target Share Price</t>
        </is>
      </c>
      <c r="C6" s="9" t="n">
        <v>68.79000000000001</v>
      </c>
    </row>
    <row r="7" ht="19.5" customHeight="1">
      <c r="B7" s="7" t="inlineStr">
        <is>
          <t>Offer Premium</t>
        </is>
      </c>
      <c r="C7" s="10" t="n">
        <v>0.16</v>
      </c>
    </row>
    <row r="8" ht="19.5" customHeight="1">
      <c r="B8" s="7" t="inlineStr">
        <is>
          <t>Offer Price</t>
        </is>
      </c>
      <c r="C8" s="9">
        <f>C6*(1+C7)</f>
        <v/>
      </c>
    </row>
    <row r="9" ht="19.5" customHeight="1">
      <c r="B9" s="7" t="inlineStr">
        <is>
          <t>Target Shares (mm)</t>
        </is>
      </c>
      <c r="C9" s="8" t="n">
        <v>192.6</v>
      </c>
    </row>
    <row r="10" ht="19.5" customHeight="1">
      <c r="B10" s="7" t="inlineStr">
        <is>
          <t>Cash Mix</t>
        </is>
      </c>
      <c r="C10" s="10" t="n">
        <v>0.6</v>
      </c>
    </row>
    <row r="11" ht="19.5" customHeight="1">
      <c r="B11" s="7" t="inlineStr">
        <is>
          <t>Stock Mix</t>
        </is>
      </c>
      <c r="C11" s="10">
        <f>1-C10</f>
        <v/>
      </c>
    </row>
    <row r="12" ht="19.5" customHeight="1">
      <c r="B12" s="7" t="inlineStr">
        <is>
          <t>Buyer Share Price</t>
        </is>
      </c>
      <c r="C12" s="9" t="n">
        <v>425.17</v>
      </c>
    </row>
    <row r="13" ht="19.5" customHeight="1">
      <c r="B13" s="7" t="inlineStr">
        <is>
          <t>New Debt Rate</t>
        </is>
      </c>
      <c r="C13" s="10" t="n">
        <v>0.0575</v>
      </c>
    </row>
    <row r="14" ht="19.5" customHeight="1">
      <c r="B14" s="7" t="inlineStr">
        <is>
          <t>Tax Rate</t>
        </is>
      </c>
      <c r="C14" s="10" t="n">
        <v>0.25</v>
      </c>
    </row>
    <row r="15" ht="33" customHeight="1">
      <c r="B15" s="36" t="inlineStr">
        <is>
          <t>Cost Synergies ($mm, pre-tax)</t>
        </is>
      </c>
      <c r="C15" s="9" t="n">
        <v>150</v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S&amp;P Global Standalone Snapshot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Share Price</t>
        </is>
      </c>
      <c r="C4" s="11" t="n">
        <v>425.17</v>
      </c>
    </row>
    <row r="5" ht="19.5" customHeight="1">
      <c r="B5" s="7" t="inlineStr">
        <is>
          <t>Shares Outstanding (mm)</t>
        </is>
      </c>
      <c r="C5" s="12" t="n">
        <v>298.8</v>
      </c>
    </row>
    <row r="6" ht="19.5" customHeight="1">
      <c r="B6" s="7" t="inlineStr">
        <is>
          <t>Market Cap ($mm)</t>
        </is>
      </c>
      <c r="C6" s="12" t="n">
        <v>127040.8</v>
      </c>
    </row>
    <row r="7" ht="19.5" customHeight="1">
      <c r="B7" s="7" t="inlineStr">
        <is>
          <t>Debt ($mm)</t>
        </is>
      </c>
      <c r="C7" s="12" t="n">
        <v>12370</v>
      </c>
    </row>
    <row r="8" ht="19.5" customHeight="1">
      <c r="B8" s="7" t="inlineStr">
        <is>
          <t>Cash ($mm)</t>
        </is>
      </c>
      <c r="C8" s="12" t="n">
        <v>1745</v>
      </c>
    </row>
    <row r="9" ht="19.5" customHeight="1">
      <c r="B9" s="7" t="inlineStr">
        <is>
          <t>Enterprise Value ($mm)</t>
        </is>
      </c>
      <c r="C9" s="12" t="n">
        <v>137665.8</v>
      </c>
    </row>
    <row r="10" ht="19.5" customHeight="1">
      <c r="B10" s="7" t="inlineStr">
        <is>
          <t>LTM Revenue ($mm)</t>
        </is>
      </c>
      <c r="C10" s="12" t="n">
        <v>15336</v>
      </c>
    </row>
    <row r="11" ht="19.5" customHeight="1">
      <c r="B11" s="7" t="inlineStr">
        <is>
          <t>LTM EBITDA ($mm)</t>
        </is>
      </c>
      <c r="C11" s="12" t="n">
        <v>7657</v>
      </c>
    </row>
    <row r="12" ht="19.5" customHeight="1">
      <c r="B12" s="7" t="inlineStr">
        <is>
          <t>LTM Net Income ($mm)</t>
        </is>
      </c>
      <c r="C12" s="12" t="n">
        <v>4820</v>
      </c>
    </row>
    <row r="13" ht="19.5" customHeight="1">
      <c r="B13" s="7" t="inlineStr">
        <is>
          <t>Standalone EPS</t>
        </is>
      </c>
      <c r="C13" s="11">
        <f>C12/C5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TransUnion Standalone Snapshot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Share Price</t>
        </is>
      </c>
      <c r="C4" s="11" t="n">
        <v>68.79000000000001</v>
      </c>
    </row>
    <row r="5" ht="19.5" customHeight="1">
      <c r="B5" s="7" t="inlineStr">
        <is>
          <t>Shares Outstanding (mm)</t>
        </is>
      </c>
      <c r="C5" s="12" t="n">
        <v>192.6</v>
      </c>
    </row>
    <row r="6" ht="19.5" customHeight="1">
      <c r="B6" s="7" t="inlineStr">
        <is>
          <t>Market Cap ($mm)</t>
        </is>
      </c>
      <c r="C6" s="12" t="n">
        <v>13249</v>
      </c>
    </row>
    <row r="7" ht="19.5" customHeight="1">
      <c r="B7" s="7" t="inlineStr">
        <is>
          <t>Debt ($mm)</t>
        </is>
      </c>
      <c r="C7" s="12" t="n">
        <v>5035.9</v>
      </c>
    </row>
    <row r="8" ht="19.5" customHeight="1">
      <c r="B8" s="7" t="inlineStr">
        <is>
          <t>Cash ($mm)</t>
        </is>
      </c>
      <c r="C8" s="12" t="n">
        <v>853.6</v>
      </c>
    </row>
    <row r="9" ht="19.5" customHeight="1">
      <c r="B9" s="7" t="inlineStr">
        <is>
          <t>Enterprise Value ($mm)</t>
        </is>
      </c>
      <c r="C9" s="12" t="n">
        <v>17431.3</v>
      </c>
    </row>
    <row r="10" ht="19.5" customHeight="1">
      <c r="B10" s="7" t="inlineStr">
        <is>
          <t>LTM Revenue ($mm)</t>
        </is>
      </c>
      <c r="C10" s="12" t="n">
        <v>4576.3</v>
      </c>
    </row>
    <row r="11" ht="19.5" customHeight="1">
      <c r="B11" s="7" t="inlineStr">
        <is>
          <t>LTM EBITDA ($mm)</t>
        </is>
      </c>
      <c r="C11" s="12" t="n">
        <v>1432.6</v>
      </c>
    </row>
    <row r="12" ht="19.5" customHeight="1">
      <c r="B12" s="7" t="inlineStr">
        <is>
          <t>LTM Net Income ($mm)</t>
        </is>
      </c>
      <c r="C12" s="12" t="n">
        <v>469.9</v>
      </c>
    </row>
    <row r="13" ht="19.5" customHeight="1">
      <c r="B13" s="7" t="inlineStr">
        <is>
          <t>Standalone EPS</t>
        </is>
      </c>
      <c r="C13" s="11">
        <f>C12/C5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Deal Structure ($mm unless noted)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Offer Price</t>
        </is>
      </c>
      <c r="C4" s="11">
        <f>Assumptions!C8</f>
        <v/>
      </c>
    </row>
    <row r="5" ht="19.5" customHeight="1">
      <c r="B5" s="7" t="inlineStr">
        <is>
          <t>Target Shares (mm)</t>
        </is>
      </c>
      <c r="C5" s="12">
        <f>Assumptions!C9</f>
        <v/>
      </c>
    </row>
    <row r="6" ht="19.5" customHeight="1">
      <c r="B6" s="7" t="inlineStr">
        <is>
          <t>Equity Purchase Price</t>
        </is>
      </c>
      <c r="C6" s="12">
        <f>C4*C5</f>
        <v/>
      </c>
    </row>
    <row r="7" ht="19.5" customHeight="1">
      <c r="B7" s="7" t="inlineStr">
        <is>
          <t>Target Debt Assumed</t>
        </is>
      </c>
      <c r="C7" s="12">
        <f>Target!C7</f>
        <v/>
      </c>
    </row>
    <row r="8" ht="19.5" customHeight="1">
      <c r="B8" s="7" t="inlineStr">
        <is>
          <t>Less: Target Cash</t>
        </is>
      </c>
      <c r="C8" s="12">
        <f>Target!C8</f>
        <v/>
      </c>
    </row>
    <row r="9" ht="19.5" customHeight="1">
      <c r="B9" s="7" t="inlineStr">
        <is>
          <t>Implied Enterprise Value</t>
        </is>
      </c>
      <c r="C9" s="12">
        <f>C6+C7-C8</f>
        <v/>
      </c>
    </row>
    <row r="10" ht="19.5" customHeight="1">
      <c r="B10" s="7" t="inlineStr">
        <is>
          <t>Cash Consideration</t>
        </is>
      </c>
      <c r="C10" s="12">
        <f>C6*Assumptions!C10</f>
        <v/>
      </c>
    </row>
    <row r="11" ht="19.5" customHeight="1">
      <c r="B11" s="7" t="inlineStr">
        <is>
          <t>Stock Consideration</t>
        </is>
      </c>
      <c r="C11" s="12">
        <f>C6*Assumptions!C11</f>
        <v/>
      </c>
    </row>
    <row r="12" ht="19.5" customHeight="1">
      <c r="B12" s="7" t="inlineStr">
        <is>
          <t>Buyer Shares Issued (mm)</t>
        </is>
      </c>
      <c r="C12" s="12">
        <f>C11/Assumptions!C12</f>
        <v/>
      </c>
    </row>
    <row r="13" ht="19.5" customHeight="1">
      <c r="B13" s="7" t="inlineStr">
        <is>
          <t>New Debt Raised</t>
        </is>
      </c>
      <c r="C13" s="12">
        <f>C10</f>
        <v/>
      </c>
    </row>
    <row r="14" ht="19.5" customHeight="1">
      <c r="B14" s="7" t="inlineStr">
        <is>
          <t>Exchange Ratio</t>
        </is>
      </c>
      <c r="C14" s="13">
        <f>C12/Assumptions!C9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Pro Forma EPS Bridge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Buyer Standalone Net Income</t>
        </is>
      </c>
      <c r="C4" s="12">
        <f>Buyer!C12</f>
        <v/>
      </c>
    </row>
    <row r="5" ht="19.5" customHeight="1">
      <c r="B5" s="7" t="inlineStr">
        <is>
          <t>Target Net Income</t>
        </is>
      </c>
      <c r="C5" s="12">
        <f>Target!C12</f>
        <v/>
      </c>
    </row>
    <row r="6" ht="19.5" customHeight="1">
      <c r="B6" s="7" t="inlineStr">
        <is>
          <t>After-Tax Synergies</t>
        </is>
      </c>
      <c r="C6" s="12">
        <f>Assumptions!C15*(1-Assumptions!C14)</f>
        <v/>
      </c>
    </row>
    <row r="7" ht="19.5" customHeight="1">
      <c r="B7" s="7" t="inlineStr">
        <is>
          <t>After-Tax Financing Drag</t>
        </is>
      </c>
      <c r="C7" s="12">
        <f>Deal_Structure!C13*Assumptions!C13*(1-Assumptions!C14)</f>
        <v/>
      </c>
    </row>
    <row r="8" ht="19.5" customHeight="1">
      <c r="B8" s="7" t="inlineStr">
        <is>
          <t>Pro Forma Net Income</t>
        </is>
      </c>
      <c r="C8" s="12">
        <f>SUM(C4:C6)-C7</f>
        <v/>
      </c>
    </row>
    <row r="9" ht="19.5" customHeight="1">
      <c r="B9" s="36" t="inlineStr">
        <is>
          <t>Buyer Shares Outstanding (mm)</t>
        </is>
      </c>
      <c r="C9" s="12">
        <f>Buyer!C5</f>
        <v/>
      </c>
    </row>
    <row r="10" ht="19.5" customHeight="1">
      <c r="B10" s="7" t="inlineStr">
        <is>
          <t>Shares Issued (mm)</t>
        </is>
      </c>
      <c r="C10" s="12">
        <f>Deal_Structure!C12</f>
        <v/>
      </c>
    </row>
    <row r="11" ht="19.5" customHeight="1">
      <c r="B11" s="7" t="inlineStr">
        <is>
          <t>Pro Forma Shares (mm)</t>
        </is>
      </c>
      <c r="C11" s="12">
        <f>SUM(C9:C10)</f>
        <v/>
      </c>
    </row>
    <row r="12" ht="19.5" customHeight="1">
      <c r="B12" s="7" t="inlineStr">
        <is>
          <t>Buyer Standalone EPS</t>
        </is>
      </c>
      <c r="C12" s="11">
        <f>Buyer!C13</f>
        <v/>
      </c>
    </row>
    <row r="13" ht="19.5" customHeight="1">
      <c r="B13" s="7" t="inlineStr">
        <is>
          <t>Pro Forma EPS</t>
        </is>
      </c>
      <c r="C13" s="11">
        <f>C8/C11</f>
        <v/>
      </c>
    </row>
    <row r="14" ht="19.5" customHeight="1">
      <c r="B14" s="7" t="inlineStr">
        <is>
          <t>Accretion / (Dilution)</t>
        </is>
      </c>
      <c r="C14" s="14">
        <f>C13/C12-1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EPS Accretion / (Dilution) Sensitivity</t>
        </is>
      </c>
      <c r="C2" s="34" t="n"/>
      <c r="D2" s="34" t="n"/>
      <c r="E2" s="34" t="n"/>
      <c r="F2" s="34" t="n"/>
      <c r="G2" s="34" t="n"/>
      <c r="H2" s="35" t="n"/>
    </row>
    <row r="3"/>
    <row r="4">
      <c r="D4" s="15" t="n">
        <v>0.15</v>
      </c>
      <c r="E4" s="15" t="n">
        <v>0.2</v>
      </c>
      <c r="F4" s="15" t="n">
        <v>0.25</v>
      </c>
      <c r="G4" s="15" t="n">
        <v>0.3</v>
      </c>
      <c r="H4" s="15" t="n">
        <v>0.35</v>
      </c>
    </row>
    <row r="5">
      <c r="B5" s="16" t="n">
        <v>75</v>
      </c>
      <c r="D5" s="17" t="n">
        <v>-0.019662281375316</v>
      </c>
      <c r="E5" s="17" t="n">
        <v>-0.0249962287978126</v>
      </c>
      <c r="F5" s="17" t="n">
        <v>-0.03030902810234182</v>
      </c>
      <c r="G5" s="17" t="n">
        <v>-0.03560080481264616</v>
      </c>
      <c r="H5" s="17" t="n">
        <v>-0.04087168346104297</v>
      </c>
    </row>
    <row r="6">
      <c r="B6" s="16" t="n">
        <v>100</v>
      </c>
      <c r="D6" s="17" t="n">
        <v>-0.01595031382984369</v>
      </c>
      <c r="E6" s="17" t="n">
        <v>-0.02129163450255045</v>
      </c>
      <c r="F6" s="17" t="n">
        <v>-0.02661177782371238</v>
      </c>
      <c r="G6" s="17" t="n">
        <v>-0.03191086949058675</v>
      </c>
      <c r="H6" s="17" t="n">
        <v>-0.03718903420763475</v>
      </c>
    </row>
    <row r="7">
      <c r="B7" s="16" t="n">
        <v>150</v>
      </c>
      <c r="D7" s="17" t="n">
        <v>-0.008526378738899054</v>
      </c>
      <c r="E7" s="17" t="n">
        <v>-0.01388244591202614</v>
      </c>
      <c r="F7" s="17" t="n">
        <v>-0.01921727726645361</v>
      </c>
      <c r="G7" s="17" t="n">
        <v>-0.02453099884646781</v>
      </c>
      <c r="H7" s="17" t="n">
        <v>-0.02982373570081809</v>
      </c>
    </row>
    <row r="8">
      <c r="B8" s="16" t="n">
        <v>200</v>
      </c>
      <c r="D8" s="17" t="n">
        <v>-0.001102443647954199</v>
      </c>
      <c r="E8" s="17" t="n">
        <v>-0.006473257321501946</v>
      </c>
      <c r="F8" s="17" t="n">
        <v>-0.01182277670919485</v>
      </c>
      <c r="G8" s="17" t="n">
        <v>-0.01715112820234876</v>
      </c>
      <c r="H8" s="17" t="n">
        <v>-0.02245843719400165</v>
      </c>
    </row>
    <row r="9">
      <c r="B9" s="16" t="n">
        <v>250</v>
      </c>
      <c r="D9" s="17" t="n">
        <v>0.006321491442990324</v>
      </c>
      <c r="E9" s="17" t="n">
        <v>0.0009359312690224719</v>
      </c>
      <c r="F9" s="17" t="n">
        <v>-0.004428276151936084</v>
      </c>
      <c r="G9" s="17" t="n">
        <v>-0.009771257558229718</v>
      </c>
      <c r="H9" s="17" t="n">
        <v>-0.01509313868718509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Merger Model Output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Offer Price</t>
        </is>
      </c>
      <c r="C4" s="11">
        <f>Deal_Structure!C4</f>
        <v/>
      </c>
    </row>
    <row r="5" ht="19.5" customHeight="1">
      <c r="B5" s="7" t="inlineStr">
        <is>
          <t>Premium</t>
        </is>
      </c>
      <c r="C5" s="14">
        <f>Assumptions!C7</f>
        <v/>
      </c>
    </row>
    <row r="6" ht="19.5" customHeight="1">
      <c r="B6" s="36" t="inlineStr">
        <is>
          <t>Implied Enterprise Value</t>
        </is>
      </c>
      <c r="C6" s="12">
        <f>Deal_Structure!C9</f>
        <v/>
      </c>
    </row>
    <row r="7" ht="19.5" customHeight="1">
      <c r="B7" s="7" t="inlineStr">
        <is>
          <t>Pro Forma EPS</t>
        </is>
      </c>
      <c r="C7" s="11">
        <f>Accretion_Dilution!C13</f>
        <v/>
      </c>
    </row>
    <row r="8" ht="19.5" customHeight="1">
      <c r="B8" s="7" t="inlineStr">
        <is>
          <t>Accretion / (Dilution)</t>
        </is>
      </c>
      <c r="C8" s="14">
        <f>Accretion_Dilution!C14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18" t="inlineStr">
        <is>
          <t>Check</t>
        </is>
      </c>
      <c r="C4" s="18" t="inlineStr">
        <is>
          <t>Status</t>
        </is>
      </c>
    </row>
    <row r="5" ht="19.5" customHeight="1">
      <c r="B5" s="19" t="inlineStr">
        <is>
          <t>Cash and stock mix sum to 100%</t>
        </is>
      </c>
      <c r="C5" s="20">
        <f>IF(ABS(Assumptions!C10+Assumptions!C11-1)&lt;0.0001,"OK","CHECK")</f>
        <v/>
      </c>
    </row>
    <row r="6" ht="19.5" customHeight="1">
      <c r="B6" s="21" t="inlineStr">
        <is>
          <t>Shares issued is positive</t>
        </is>
      </c>
      <c r="C6" s="22">
        <f>IF(Deal_Structure!C12&gt;0,"OK","CHECK")</f>
        <v/>
      </c>
    </row>
    <row r="7" ht="19.5" customHeight="1">
      <c r="B7" s="19" t="inlineStr">
        <is>
          <t>Pro forma EPS is numeric</t>
        </is>
      </c>
      <c r="C7" s="20">
        <f>IF(ISNUMBER(Accretion_Dilution!C13),"OK","CHECK")</f>
        <v/>
      </c>
    </row>
    <row r="8" ht="19.5" customHeight="1">
      <c r="B8" s="21" t="inlineStr">
        <is>
          <t>Sensitivity grid is populated</t>
        </is>
      </c>
      <c r="C8" s="22">
        <f>IF(COUNT(Sensitivities!D5:H9)=25,"OK","CHECK")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23" t="inlineStr">
        <is>
          <t>Category</t>
        </is>
      </c>
      <c r="C4" s="23" t="inlineStr">
        <is>
          <t>Entity</t>
        </is>
      </c>
      <c r="D4" s="23" t="inlineStr">
        <is>
          <t>Document</t>
        </is>
      </c>
      <c r="E4" s="23" t="inlineStr">
        <is>
          <t>As of</t>
        </is>
      </c>
      <c r="F4" s="23" t="inlineStr">
        <is>
          <t>URL</t>
        </is>
      </c>
      <c r="G4" s="23" t="inlineStr">
        <is>
          <t>Local File</t>
        </is>
      </c>
      <c r="H4" s="23" t="inlineStr">
        <is>
          <t>Notes</t>
        </is>
      </c>
    </row>
    <row r="5" ht="33" customHeight="1">
      <c r="B5" s="19" t="inlineStr">
        <is>
          <t>Public Company</t>
        </is>
      </c>
      <c r="C5" s="19" t="inlineStr">
        <is>
          <t>TransUnion</t>
        </is>
      </c>
      <c r="D5" s="19" t="inlineStr">
        <is>
          <t>2025 10-K</t>
        </is>
      </c>
      <c r="E5" s="24" t="inlineStr">
        <is>
          <t>2025-12-31</t>
        </is>
      </c>
      <c r="F5" s="24" t="inlineStr">
        <is>
          <t>https://www.sec.gov/Archives/edgar/data/1552033/000155203326000012/tru-20251231.htm</t>
        </is>
      </c>
      <c r="G5" s="24" t="inlineStr">
        <is>
          <t>data/raw/reference_html/tru_2025_10k.html</t>
        </is>
      </c>
      <c r="H5" s="24" t="inlineStr">
        <is>
          <t>Primary annual filing used for LTM operating and balance-sheet data.</t>
        </is>
      </c>
    </row>
    <row r="6" ht="33" customHeight="1">
      <c r="B6" s="21" t="inlineStr">
        <is>
          <t>Public Company</t>
        </is>
      </c>
      <c r="C6" s="21" t="inlineStr">
        <is>
          <t>Equifax</t>
        </is>
      </c>
      <c r="D6" s="21" t="inlineStr">
        <is>
          <t>2025 10-K</t>
        </is>
      </c>
      <c r="E6" s="25" t="inlineStr">
        <is>
          <t>2025-12-31</t>
        </is>
      </c>
      <c r="F6" s="25" t="inlineStr">
        <is>
          <t>https://www.sec.gov/Archives/edgar/data/33185/000003318526000010/efx-20251231.htm</t>
        </is>
      </c>
      <c r="G6" s="25" t="inlineStr">
        <is>
          <t>data/raw/reference_html/efx_2025_10k.html</t>
        </is>
      </c>
      <c r="H6" s="25" t="inlineStr">
        <is>
          <t>Primary annual filing used for LTM operating and balance-sheet data.</t>
        </is>
      </c>
    </row>
    <row r="7" ht="33" customHeight="1">
      <c r="B7" s="19" t="inlineStr">
        <is>
          <t>Public Company</t>
        </is>
      </c>
      <c r="C7" s="19" t="inlineStr">
        <is>
          <t>Verisk Analytics</t>
        </is>
      </c>
      <c r="D7" s="19" t="inlineStr">
        <is>
          <t>2025 10-K</t>
        </is>
      </c>
      <c r="E7" s="24" t="inlineStr">
        <is>
          <t>2025-12-31</t>
        </is>
      </c>
      <c r="F7" s="24" t="inlineStr">
        <is>
          <t>https://www.sec.gov/Archives/edgar/data/1442145/000143774926004452/vrsk20251231_10k.htm</t>
        </is>
      </c>
      <c r="G7" s="24" t="inlineStr">
        <is>
          <t>data/raw/reference_html/vrsk_2025_10k.html</t>
        </is>
      </c>
      <c r="H7" s="24" t="inlineStr">
        <is>
          <t>Primary annual filing used for LTM operating and balance-sheet data.</t>
        </is>
      </c>
    </row>
    <row r="8" ht="33" customHeight="1">
      <c r="B8" s="21" t="inlineStr">
        <is>
          <t>Public Company</t>
        </is>
      </c>
      <c r="C8" s="21" t="inlineStr">
        <is>
          <t>Morningstar</t>
        </is>
      </c>
      <c r="D8" s="21" t="inlineStr">
        <is>
          <t>2025 10-K</t>
        </is>
      </c>
      <c r="E8" s="25" t="inlineStr">
        <is>
          <t>2025-12-31</t>
        </is>
      </c>
      <c r="F8" s="25" t="inlineStr">
        <is>
          <t>https://www.sec.gov/Archives/edgar/data/1289419/000128941926000013/morn-20251231.htm</t>
        </is>
      </c>
      <c r="G8" s="25" t="inlineStr">
        <is>
          <t>data/raw/reference_html/morn_2025_10k.html</t>
        </is>
      </c>
      <c r="H8" s="25" t="inlineStr">
        <is>
          <t>Primary annual filing used for LTM operating and balance-sheet data.</t>
        </is>
      </c>
    </row>
    <row r="9" ht="33" customHeight="1">
      <c r="B9" s="19" t="inlineStr">
        <is>
          <t>Public Company</t>
        </is>
      </c>
      <c r="C9" s="19" t="inlineStr">
        <is>
          <t>MSCI</t>
        </is>
      </c>
      <c r="D9" s="19" t="inlineStr">
        <is>
          <t>2025 10-K</t>
        </is>
      </c>
      <c r="E9" s="24" t="inlineStr">
        <is>
          <t>2025-12-31</t>
        </is>
      </c>
      <c r="F9" s="24" t="inlineStr">
        <is>
          <t>https://www.sec.gov/Archives/edgar/data/1408198/000140819826000011/msci-20251231.htm</t>
        </is>
      </c>
      <c r="G9" s="24" t="inlineStr">
        <is>
          <t>data/raw/reference_html/msci_2025_10k.html</t>
        </is>
      </c>
      <c r="H9" s="24" t="inlineStr">
        <is>
          <t>Primary annual filing used for LTM operating and balance-sheet data.</t>
        </is>
      </c>
    </row>
    <row r="10" ht="33" customHeight="1">
      <c r="B10" s="21" t="inlineStr">
        <is>
          <t>Public Company</t>
        </is>
      </c>
      <c r="C10" s="21" t="inlineStr">
        <is>
          <t>Moody's</t>
        </is>
      </c>
      <c r="D10" s="21" t="inlineStr">
        <is>
          <t>2025 10-K</t>
        </is>
      </c>
      <c r="E10" s="25" t="inlineStr">
        <is>
          <t>2025-12-31</t>
        </is>
      </c>
      <c r="F10" s="25" t="inlineStr">
        <is>
          <t>https://www.sec.gov/Archives/edgar/data/1059556/000162828026009136/mco-20251231.htm</t>
        </is>
      </c>
      <c r="G10" s="25" t="inlineStr">
        <is>
          <t>data/raw/reference_html/mco_2025_10k.html</t>
        </is>
      </c>
      <c r="H10" s="25" t="inlineStr">
        <is>
          <t>Primary annual filing used for LTM operating and balance-sheet data.</t>
        </is>
      </c>
    </row>
    <row r="11" ht="33" customHeight="1">
      <c r="B11" s="19" t="inlineStr">
        <is>
          <t>Public Company</t>
        </is>
      </c>
      <c r="C11" s="19" t="inlineStr">
        <is>
          <t>S&amp;P Global</t>
        </is>
      </c>
      <c r="D11" s="19" t="inlineStr">
        <is>
          <t>2025 10-K</t>
        </is>
      </c>
      <c r="E11" s="24" t="inlineStr">
        <is>
          <t>2025-12-31</t>
        </is>
      </c>
      <c r="F11" s="24" t="inlineStr">
        <is>
          <t>https://www.sec.gov/Archives/edgar/data/64040/000006404026000013/spgi-20251231.htm</t>
        </is>
      </c>
      <c r="G11" s="24" t="inlineStr">
        <is>
          <t>data/raw/reference_html/spgi_2025_10k.html</t>
        </is>
      </c>
      <c r="H11" s="24" t="inlineStr">
        <is>
          <t>Primary annual filing used for LTM operating and balance-sheet data.</t>
        </is>
      </c>
    </row>
    <row r="12" ht="33" customHeight="1">
      <c r="B12" s="25" t="inlineStr">
        <is>
          <t>Precedent Transaction</t>
        </is>
      </c>
      <c r="C12" s="25" t="inlineStr">
        <is>
          <t>Dun &amp; Bradstreet Holdings</t>
        </is>
      </c>
      <c r="D12" s="25" t="inlineStr">
        <is>
          <t>Announcement Press Release</t>
        </is>
      </c>
      <c r="E12" s="25" t="inlineStr">
        <is>
          <t>2025-03-24</t>
        </is>
      </c>
      <c r="F12" s="25" t="inlineStr">
        <is>
          <t>https://www.sec.gov/Archives/edgar/data/1799208/000110465925027293/tm2510133d1_ex99-1.htm</t>
        </is>
      </c>
      <c r="G12" s="25" t="inlineStr">
        <is>
          <t>data/raw/reference_html/dnb_announcement_press_release.html</t>
        </is>
      </c>
      <c r="H12" s="25" t="inlineStr">
        <is>
          <t>Public announcement material used for offer price and buyer context.</t>
        </is>
      </c>
    </row>
    <row r="13" ht="46.5" customHeight="1">
      <c r="B13" s="24" t="inlineStr">
        <is>
          <t>Precedent Transaction</t>
        </is>
      </c>
      <c r="C13" s="24" t="inlineStr">
        <is>
          <t>Dun &amp; Bradstreet Holdings</t>
        </is>
      </c>
      <c r="D13" s="19" t="inlineStr">
        <is>
          <t>Premium Reference</t>
        </is>
      </c>
      <c r="E13" s="24" t="inlineStr">
        <is>
          <t>2025-03-24</t>
        </is>
      </c>
      <c r="F13" s="24" t="inlineStr">
        <is>
          <t>https://www.investing.com/news/stock-market-news/pe-firm-clearlake-to-buy-dun--bradstreet-for-41-billion-in-cash-3945178</t>
        </is>
      </c>
      <c r="G13" s="24" t="inlineStr"/>
      <c r="H13" s="24" t="inlineStr">
        <is>
          <t>Public source documenting the premium basis noted in the workbook.</t>
        </is>
      </c>
    </row>
    <row r="14" ht="46.5" customHeight="1">
      <c r="B14" s="25" t="inlineStr">
        <is>
          <t>Precedent Transaction</t>
        </is>
      </c>
      <c r="C14" s="21" t="inlineStr">
        <is>
          <t>Envestnet</t>
        </is>
      </c>
      <c r="D14" s="25" t="inlineStr">
        <is>
          <t>Announcement Press Release</t>
        </is>
      </c>
      <c r="E14" s="25" t="inlineStr">
        <is>
          <t>2024-07-11</t>
        </is>
      </c>
      <c r="F14" s="25" t="inlineStr">
        <is>
          <t>https://www.stocktitan.net/news/ENV/envestnet-leading-wealth-technology-platform-announces-4-5-billion-i21lo25fnrhh.html</t>
        </is>
      </c>
      <c r="G14" s="25" t="inlineStr">
        <is>
          <t>data/raw/reference_html/env_announcement_press_release.html</t>
        </is>
      </c>
      <c r="H14" s="25" t="inlineStr">
        <is>
          <t>Public announcement material used for offer price and buyer context.</t>
        </is>
      </c>
    </row>
    <row r="15" ht="33" customHeight="1">
      <c r="B15" s="24" t="inlineStr">
        <is>
          <t>Precedent Transaction</t>
        </is>
      </c>
      <c r="C15" s="19" t="inlineStr">
        <is>
          <t>Envestnet</t>
        </is>
      </c>
      <c r="D15" s="19" t="inlineStr">
        <is>
          <t>Premium Reference</t>
        </is>
      </c>
      <c r="E15" s="24" t="inlineStr">
        <is>
          <t>2024-07-11</t>
        </is>
      </c>
      <c r="F15" s="24" t="inlineStr">
        <is>
          <t>https://citywire.com/ria/news/bain-capital-to-take-envestnet-private-in-4-5bn-deal/a2442550</t>
        </is>
      </c>
      <c r="G15" s="24" t="inlineStr">
        <is>
          <t>data/raw/reference_html/env_premium_reference.html</t>
        </is>
      </c>
      <c r="H15" s="24" t="inlineStr">
        <is>
          <t>Public source documenting the premium basis noted in the workbook.</t>
        </is>
      </c>
    </row>
    <row r="16" ht="33" customHeight="1">
      <c r="B16" s="25" t="inlineStr">
        <is>
          <t>Precedent Transaction</t>
        </is>
      </c>
      <c r="C16" s="21" t="inlineStr">
        <is>
          <t>Model N</t>
        </is>
      </c>
      <c r="D16" s="25" t="inlineStr">
        <is>
          <t>Announcement Press Release</t>
        </is>
      </c>
      <c r="E16" s="25" t="inlineStr">
        <is>
          <t>2024-04-08</t>
        </is>
      </c>
      <c r="F16" s="25" t="inlineStr">
        <is>
          <t>https://marketchameleon.com/PressReleases/i/1874156/MODN/model-n-to-be-acquired-by-vista</t>
        </is>
      </c>
      <c r="G16" s="25" t="inlineStr">
        <is>
          <t>data/raw/reference_html/modn_announcement_press_release.html</t>
        </is>
      </c>
      <c r="H16" s="25" t="inlineStr">
        <is>
          <t>Public announcement material used for offer price and buyer context.</t>
        </is>
      </c>
    </row>
    <row r="17" ht="46.5" customHeight="1">
      <c r="B17" s="24" t="inlineStr">
        <is>
          <t>Precedent Transaction</t>
        </is>
      </c>
      <c r="C17" s="19" t="inlineStr">
        <is>
          <t>Model N</t>
        </is>
      </c>
      <c r="D17" s="19" t="inlineStr">
        <is>
          <t>Premium Reference</t>
        </is>
      </c>
      <c r="E17" s="24" t="inlineStr">
        <is>
          <t>2024-04-08</t>
        </is>
      </c>
      <c r="F17" s="24" t="inlineStr">
        <is>
          <t>https://www.benzinga.com/markets/equities/24/04/38144970/why-information-technology-model-n-shares-are-surging-today</t>
        </is>
      </c>
      <c r="G17" s="24" t="inlineStr">
        <is>
          <t>data/raw/reference_html/modn_premium_reference.html</t>
        </is>
      </c>
      <c r="H17" s="24" t="inlineStr">
        <is>
          <t>Public source documenting the premium basis noted in the workbook.</t>
        </is>
      </c>
    </row>
    <row r="18" ht="46.5" customHeight="1">
      <c r="B18" s="25" t="inlineStr">
        <is>
          <t>Precedent Transaction</t>
        </is>
      </c>
      <c r="C18" s="21" t="inlineStr">
        <is>
          <t>Black Knight</t>
        </is>
      </c>
      <c r="D18" s="25" t="inlineStr">
        <is>
          <t>Announcement Press Release</t>
        </is>
      </c>
      <c r="E18" s="25" t="inlineStr">
        <is>
          <t>2022-05-04</t>
        </is>
      </c>
      <c r="F18" s="25" t="inlineStr">
        <is>
          <t>https://www.nasdaq.com/articles/intercontinental-exchange-to-buy-black-knight-in-%2413.1-bln-deal</t>
        </is>
      </c>
      <c r="G18" s="25" t="inlineStr"/>
      <c r="H18" s="25" t="inlineStr">
        <is>
          <t>Public announcement material used for offer price and buyer context.</t>
        </is>
      </c>
    </row>
    <row r="19" ht="33" customHeight="1">
      <c r="B19" s="24" t="inlineStr">
        <is>
          <t>Precedent Transaction</t>
        </is>
      </c>
      <c r="C19" s="19" t="inlineStr">
        <is>
          <t>Black Knight</t>
        </is>
      </c>
      <c r="D19" s="19" t="inlineStr">
        <is>
          <t>Premium Reference</t>
        </is>
      </c>
      <c r="E19" s="24" t="inlineStr">
        <is>
          <t>2022-05-04</t>
        </is>
      </c>
      <c r="F19" s="24" t="inlineStr">
        <is>
          <t>https://www.jaxdailyrecord.com/news/2022/may/12/low-stock-price-spurred-black-knight-deal/</t>
        </is>
      </c>
      <c r="G19" s="24" t="inlineStr">
        <is>
          <t>data/raw/reference_html/bki_premium_reference.html</t>
        </is>
      </c>
      <c r="H19" s="24" t="inlineStr">
        <is>
          <t>Public source documenting the premium basis noted in the workbook.</t>
        </is>
      </c>
    </row>
    <row r="20" ht="46.5" customHeight="1">
      <c r="B20" s="25" t="inlineStr">
        <is>
          <t>Precedent Transaction</t>
        </is>
      </c>
      <c r="C20" s="25" t="inlineStr">
        <is>
          <t>Bottomline Technologies</t>
        </is>
      </c>
      <c r="D20" s="25" t="inlineStr">
        <is>
          <t>Announcement Press Release</t>
        </is>
      </c>
      <c r="E20" s="25" t="inlineStr">
        <is>
          <t>2021-12-17</t>
        </is>
      </c>
      <c r="F20" s="25" t="inlineStr">
        <is>
          <t>https://marketchameleon.com/PressReleases/i/1352182/EPAY/bottomline-to-be-acquired-by-thoma-bravo</t>
        </is>
      </c>
      <c r="G20" s="25" t="inlineStr">
        <is>
          <t>data/raw/reference_html/epay_announcement_press_release.html</t>
        </is>
      </c>
      <c r="H20" s="25" t="inlineStr">
        <is>
          <t>Public announcement material used for offer price and buyer context.</t>
        </is>
      </c>
    </row>
    <row r="21" ht="33" customHeight="1">
      <c r="B21" s="24" t="inlineStr">
        <is>
          <t>Precedent Transaction</t>
        </is>
      </c>
      <c r="C21" s="24" t="inlineStr">
        <is>
          <t>Bottomline Technologies</t>
        </is>
      </c>
      <c r="D21" s="19" t="inlineStr">
        <is>
          <t>Premium Reference</t>
        </is>
      </c>
      <c r="E21" s="24" t="inlineStr">
        <is>
          <t>2021-12-17</t>
        </is>
      </c>
      <c r="F21" s="24" t="inlineStr">
        <is>
          <t>https://www.publicnow.com/view/6F71E0380357D4D65D2A238C7AB87A88E3B4D5A6?1652450101=</t>
        </is>
      </c>
      <c r="G21" s="24" t="inlineStr"/>
      <c r="H21" s="24" t="inlineStr">
        <is>
          <t>Public source documenting the premium basis noted in the workbook.</t>
        </is>
      </c>
    </row>
    <row r="22" ht="33" customHeight="1">
      <c r="B22" s="21" t="inlineStr">
        <is>
          <t>DCF</t>
        </is>
      </c>
      <c r="C22" s="21" t="inlineStr">
        <is>
          <t>TransUnion</t>
        </is>
      </c>
      <c r="D22" s="21" t="inlineStr">
        <is>
          <t>2025 10-K</t>
        </is>
      </c>
      <c r="E22" s="25" t="inlineStr">
        <is>
          <t>2025-12-31</t>
        </is>
      </c>
      <c r="F22" s="25" t="inlineStr">
        <is>
          <t>https://www.sec.gov/Archives/edgar/data/1552033/000155203326000012/tru-20251231.htm</t>
        </is>
      </c>
      <c r="G22" s="25" t="inlineStr">
        <is>
          <t>data/raw/reference_html/tru_2025_10k.html</t>
        </is>
      </c>
      <c r="H22" s="25" t="inlineStr">
        <is>
          <t>Historical actuals and balance-sheet data.</t>
        </is>
      </c>
    </row>
    <row r="23" ht="33" customHeight="1">
      <c r="B23" s="19" t="inlineStr">
        <is>
          <t>DCF</t>
        </is>
      </c>
      <c r="C23" s="19" t="inlineStr">
        <is>
          <t>TransUnion</t>
        </is>
      </c>
      <c r="D23" s="19" t="inlineStr">
        <is>
          <t>2026 Earnings Release</t>
        </is>
      </c>
      <c r="E23" s="24" t="inlineStr">
        <is>
          <t>2026-02-12</t>
        </is>
      </c>
      <c r="F23" s="24" t="inlineStr">
        <is>
          <t>https://www.sec.gov/Archives/edgar/data/1552033/000155203326000006/exhibit99112312025.htm</t>
        </is>
      </c>
      <c r="G23" s="24" t="inlineStr">
        <is>
          <t>data/raw/reference_html/tru_2026_guidance.html</t>
        </is>
      </c>
      <c r="H23" s="24" t="inlineStr">
        <is>
          <t>Management 2026 revenue and adjusted EBITDA guidance.</t>
        </is>
      </c>
    </row>
    <row r="24" ht="33" customHeight="1">
      <c r="B24" s="21" t="inlineStr">
        <is>
          <t>Valuation</t>
        </is>
      </c>
      <c r="C24" s="21" t="inlineStr">
        <is>
          <t>Damodaran</t>
        </is>
      </c>
      <c r="D24" s="21" t="inlineStr">
        <is>
          <t>Implied ERP Update</t>
        </is>
      </c>
      <c r="E24" s="25" t="inlineStr">
        <is>
          <t>2026-04-01</t>
        </is>
      </c>
      <c r="F24" s="25" t="inlineStr">
        <is>
          <t>https://pages.stern.nyu.edu/~adamodar/New_Home_Page/home.htm</t>
        </is>
      </c>
      <c r="G24" s="25" t="inlineStr">
        <is>
          <t>data/raw/reference_html/damodaran_home_apr_2026.html</t>
        </is>
      </c>
      <c r="H24" s="25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2026-04-23T17:34:14Z</dcterms:created>
  <dcterms:modified xsi:type="dcterms:W3CDTF">2026-04-23T18:33:14+00:00Z</dcterms:modified>
  <cp:lastModifiedBy>Jordan Mahmood</cp:lastModifiedBy>
</cp:coreProperties>
</file>