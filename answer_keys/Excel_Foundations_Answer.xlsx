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Raw_Data" sheetId="3" state="visible" r:id="rId3"/>
    <sheet xmlns:r="http://schemas.openxmlformats.org/officeDocument/2006/relationships" name="Exercises" sheetId="4" state="visible" r:id="rId4"/>
    <sheet xmlns:r="http://schemas.openxmlformats.org/officeDocument/2006/relationships" name="Charts" sheetId="5" state="visible" r:id="rId5"/>
    <sheet xmlns:r="http://schemas.openxmlformats.org/officeDocument/2006/relationships" name="Checks" sheetId="6" state="visible" r:id="rId6"/>
    <sheet xmlns:r="http://schemas.openxmlformats.org/officeDocument/2006/relationships" name="Source_Notes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x"/>
    <numFmt numFmtId="166" formatCode="#,##0.0"/>
    <numFmt numFmtId="167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1E3A5F"/>
      <sz val="11"/>
    </font>
    <font>
      <name val="Calibri"/>
      <color rgb="001F2937"/>
      <sz val="10"/>
    </font>
    <font>
      <name val="Calibri"/>
      <b val="1"/>
      <color rgb="00FFFFFF"/>
      <sz val="14"/>
    </font>
    <font>
      <name val="Calibri"/>
      <b val="1"/>
      <color rgb="001F2937"/>
      <sz val="10"/>
    </font>
    <font>
      <name val="Calibri"/>
      <b val="1"/>
      <color rgb="00FFFFFF"/>
      <sz val="12"/>
    </font>
    <font>
      <name val="Calibri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0253F"/>
      </patternFill>
    </fill>
    <fill>
      <patternFill patternType="solid">
        <fgColor rgb="00DDEBF7"/>
      </patternFill>
    </fill>
    <fill>
      <patternFill patternType="solid">
        <fgColor rgb="001E3A5F"/>
      </patternFill>
    </fill>
    <fill>
      <patternFill patternType="solid">
        <fgColor rgb="00EEF2F7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11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/>
      <right/>
      <top style="thin">
        <color rgb="00D9E2F3"/>
      </top>
      <bottom/>
      <diagonal/>
    </border>
    <border>
      <left/>
      <right style="thin">
        <color rgb="00D9E2F3"/>
      </right>
      <top style="thin">
        <color rgb="00D9E2F3"/>
      </top>
      <bottom/>
      <diagonal/>
    </border>
    <border>
      <left/>
      <right/>
      <top style="thin">
        <color rgb="00D9E2F3"/>
      </top>
      <bottom style="thin">
        <color rgb="00D9E2F3"/>
      </bottom>
      <diagonal/>
    </border>
    <border>
      <left/>
      <right style="thin">
        <color rgb="00D9E2F3"/>
      </right>
      <top style="thin">
        <color rgb="00D9E2F3"/>
      </top>
      <bottom style="thin">
        <color rgb="00D9E2F3"/>
      </bottom>
      <diagonal/>
    </border>
    <border>
      <left style="thin">
        <color rgb="00D9E2F3"/>
      </left>
      <right/>
      <top/>
      <bottom/>
      <diagonal/>
    </border>
    <border>
      <left/>
      <right style="thin">
        <color rgb="00D9E2F3"/>
      </right>
      <top/>
      <bottom/>
      <diagonal/>
    </border>
    <border>
      <left style="thin">
        <color rgb="00D9E2F3"/>
      </left>
      <right/>
      <top/>
      <bottom style="thin">
        <color rgb="00D9E2F3"/>
      </bottom>
      <diagonal/>
    </border>
    <border>
      <left/>
      <right/>
      <top/>
      <bottom style="thin">
        <color rgb="00D9E2F3"/>
      </bottom>
      <diagonal/>
    </border>
    <border>
      <left/>
      <right style="thin">
        <color rgb="00D9E2F3"/>
      </right>
      <top/>
      <bottom style="thin">
        <color rgb="00D9E2F3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7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164" fontId="3" fillId="6" borderId="1" applyAlignment="1" pivotButton="0" quotePrefix="0" xfId="0">
      <alignment horizontal="left" vertical="center"/>
    </xf>
    <xf numFmtId="165" fontId="3" fillId="6" borderId="1" applyAlignment="1" pivotButton="0" quotePrefix="0" xfId="0">
      <alignment horizontal="left" vertical="center"/>
    </xf>
    <xf numFmtId="166" fontId="3" fillId="6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left" vertical="center"/>
    </xf>
    <xf numFmtId="165" fontId="3" fillId="5" borderId="1" applyAlignment="1" pivotButton="0" quotePrefix="0" xfId="0">
      <alignment horizontal="left" vertical="center"/>
    </xf>
    <xf numFmtId="166" fontId="3" fillId="5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164" fontId="0" fillId="0" borderId="4" pivotButton="0" quotePrefix="0" xfId="0"/>
    <xf numFmtId="165" fontId="0" fillId="0" borderId="5" pivotButton="0" quotePrefix="0" xfId="0"/>
    <xf numFmtId="165" fontId="0" fillId="0" borderId="0" pivotButton="0" quotePrefix="0" xfId="0"/>
    <xf numFmtId="166" fontId="0" fillId="0" borderId="0" pivotButton="0" quotePrefix="0" xfId="0"/>
    <xf numFmtId="0" fontId="5" fillId="5" borderId="1" applyAlignment="1" pivotButton="0" quotePrefix="0" xfId="0">
      <alignment horizontal="left" vertical="center"/>
    </xf>
    <xf numFmtId="165" fontId="3" fillId="7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167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166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DE9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TRU Quarterly Revenue ($mm)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'Charts'!$B$5:$B$7</f>
            </numRef>
          </cat>
          <val>
            <numRef>
              <f>'Charts'!$C$5:$C$7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$mm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tabSelected="1"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/>
    <row r="2" ht="30.5" customHeight="1">
      <c r="B2" s="1" t="inlineStr">
        <is>
          <t>Excel Foundations: Banking Formatting &amp; Formula Discipline</t>
        </is>
      </c>
      <c r="C2" s="38" t="n"/>
      <c r="D2" s="38" t="n"/>
      <c r="E2" s="38" t="n"/>
      <c r="F2" s="38" t="n"/>
      <c r="G2" s="38" t="n"/>
      <c r="H2" s="39" t="n"/>
    </row>
    <row r="3" ht="20" customHeight="1">
      <c r="B3" s="40" t="n"/>
      <c r="H3" s="41" t="n"/>
    </row>
    <row r="4" ht="20" customHeight="1">
      <c r="B4" s="42" t="n"/>
      <c r="C4" s="43" t="n"/>
      <c r="D4" s="43" t="n"/>
      <c r="E4" s="43" t="n"/>
      <c r="F4" s="43" t="n"/>
      <c r="G4" s="43" t="n"/>
      <c r="H4" s="44" t="n"/>
    </row>
    <row r="5" ht="24" customHeight="1">
      <c r="B5" s="45" t="inlineStr">
        <is>
          <t>Practice workbook using real peer-market and quarterly TransUnion data.</t>
        </is>
      </c>
    </row>
    <row r="6" ht="20" customHeight="1"/>
    <row r="7" ht="24" customHeight="1">
      <c r="B7" s="6" t="inlineStr">
        <is>
          <t>• Exercises focus on lookups, aggregation, absolute references, error handling, and clean presentation.</t>
        </is>
      </c>
    </row>
    <row r="8" ht="24" customHeight="1">
      <c r="B8" s="6" t="inlineStr">
        <is>
          <t>• Raw data uses the same public-company set leveraged later in the comps and DCF modules.</t>
        </is>
      </c>
    </row>
    <row r="9" ht="24" customHeight="1">
      <c r="B9" s="6" t="inlineStr">
        <is>
          <t>• Answer workbook includes completed formulas and a clean chart output.</t>
        </is>
      </c>
    </row>
    <row r="10" ht="20" customHeight="1"/>
    <row r="11" ht="20" customHeight="1"/>
  </sheetData>
  <mergeCells count="5">
    <mergeCell ref="B8:H8"/>
    <mergeCell ref="B9:H9"/>
    <mergeCell ref="B7:H7"/>
    <mergeCell ref="B2:H4"/>
    <mergeCell ref="B5:H5"/>
  </mergeCells>
  <pageMargins left="0.35" right="0.3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selection activeCell="A1" sqref="A1"/>
    </sheetView>
  </sheetViews>
  <sheetFormatPr baseColWidth="8" defaultRowHeight="15"/>
  <cols>
    <col width="6" customWidth="1" min="2" max="2"/>
    <col width="11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Exercise Flow</t>
        </is>
      </c>
      <c r="C2" s="8" t="n"/>
      <c r="D2" s="8" t="n"/>
      <c r="E2" s="8" t="n"/>
      <c r="F2" s="8" t="n"/>
      <c r="G2" s="8" t="n"/>
      <c r="H2" s="9" t="n"/>
    </row>
    <row r="3"/>
    <row r="4" ht="19.5" customHeight="1">
      <c r="B4" s="5" t="n">
        <v>1</v>
      </c>
      <c r="C4" s="6" t="inlineStr">
        <is>
          <t>Complete the orange exercise cells without editing Raw_Data.</t>
        </is>
      </c>
    </row>
    <row r="5"/>
    <row r="6" ht="19.5" customHeight="1">
      <c r="B6" s="5" t="n">
        <v>2</v>
      </c>
      <c r="C6" s="6" t="inlineStr">
        <is>
          <t>Use banker formatting: centered labels, clean decimals, and no stray hardcodes in the answer areas.</t>
        </is>
      </c>
    </row>
    <row r="7"/>
    <row r="8" ht="19.5" customHeight="1">
      <c r="B8" s="5" t="n">
        <v>3</v>
      </c>
      <c r="C8" s="6" t="inlineStr">
        <is>
          <t>Recreate the revenue trend chart after the formulas reconcile.</t>
        </is>
      </c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</cols>
  <sheetData>
    <row r="1"/>
    <row r="2" ht="22.5" customHeight="1">
      <c r="B2" s="7" t="inlineStr">
        <is>
          <t>Peer Market Snapshot</t>
        </is>
      </c>
      <c r="C2" s="8" t="n"/>
      <c r="D2" s="8" t="n"/>
      <c r="E2" s="8" t="n"/>
      <c r="F2" s="8" t="n"/>
      <c r="G2" s="9" t="n"/>
    </row>
    <row r="3" ht="19.5" customHeight="1">
      <c r="B3" s="10" t="inlineStr">
        <is>
          <t>Ticker</t>
        </is>
      </c>
      <c r="C3" s="10" t="inlineStr">
        <is>
          <t>Share Price</t>
        </is>
      </c>
      <c r="D3" s="10" t="inlineStr">
        <is>
          <t>EV / EBITDA</t>
        </is>
      </c>
      <c r="E3" s="10" t="inlineStr">
        <is>
          <t>EV / Revenue</t>
        </is>
      </c>
      <c r="F3" s="10" t="inlineStr">
        <is>
          <t>Revenue ($mm)</t>
        </is>
      </c>
      <c r="G3" s="10" t="inlineStr">
        <is>
          <t>EBITDA ($mm)</t>
        </is>
      </c>
    </row>
    <row r="4" ht="19.5" customHeight="1">
      <c r="B4" s="11" t="inlineStr">
        <is>
          <t>TRU</t>
        </is>
      </c>
      <c r="C4" s="11" t="n">
        <v>68.79000000000001</v>
      </c>
      <c r="D4" s="11" t="n">
        <v>12.17</v>
      </c>
      <c r="E4" s="11" t="n">
        <v>3.81</v>
      </c>
      <c r="F4" s="11" t="n">
        <v>4576.3</v>
      </c>
      <c r="G4" s="11" t="n">
        <v>1432.6</v>
      </c>
    </row>
    <row r="5" ht="19.5" customHeight="1">
      <c r="B5" s="12" t="inlineStr">
        <is>
          <t>EFX</t>
        </is>
      </c>
      <c r="C5" s="13" t="n">
        <v>179.66</v>
      </c>
      <c r="D5" s="14" t="n">
        <v>13.99</v>
      </c>
      <c r="E5" s="14" t="n">
        <v>4.19</v>
      </c>
      <c r="F5" s="15" t="n">
        <v>6074.5</v>
      </c>
      <c r="G5" s="15" t="n">
        <v>1822.1</v>
      </c>
    </row>
    <row r="6" ht="19.5" customHeight="1">
      <c r="B6" s="11" t="inlineStr">
        <is>
          <t>VRSK</t>
        </is>
      </c>
      <c r="C6" s="16" t="n">
        <v>183.5</v>
      </c>
      <c r="D6" s="17" t="n">
        <v>14.74</v>
      </c>
      <c r="E6" s="17" t="n">
        <v>7.69</v>
      </c>
      <c r="F6" s="18" t="n">
        <v>3072.7</v>
      </c>
      <c r="G6" s="18" t="n">
        <v>1603.1</v>
      </c>
    </row>
    <row r="7" ht="19.5" customHeight="1">
      <c r="B7" s="12" t="inlineStr">
        <is>
          <t>MORN</t>
        </is>
      </c>
      <c r="C7" s="13" t="n">
        <v>169.7</v>
      </c>
      <c r="D7" s="14" t="n">
        <v>10.21</v>
      </c>
      <c r="E7" s="14" t="n">
        <v>2.99</v>
      </c>
      <c r="F7" s="15" t="n">
        <v>2445.5</v>
      </c>
      <c r="G7" s="15" t="n">
        <v>716.5</v>
      </c>
    </row>
    <row r="8" ht="19.5" customHeight="1">
      <c r="B8" s="11" t="inlineStr">
        <is>
          <t>MSCI</t>
        </is>
      </c>
      <c r="C8" s="16" t="n">
        <v>536.9</v>
      </c>
      <c r="D8" s="17" t="n">
        <v>25.98</v>
      </c>
      <c r="E8" s="17" t="n">
        <v>14.4</v>
      </c>
      <c r="F8" s="18" t="n">
        <v>3134.5</v>
      </c>
      <c r="G8" s="18" t="n">
        <v>1737</v>
      </c>
    </row>
    <row r="9" ht="19.5" customHeight="1">
      <c r="B9" s="12" t="inlineStr">
        <is>
          <t>MCO</t>
        </is>
      </c>
      <c r="C9" s="13" t="n">
        <v>438.78</v>
      </c>
      <c r="D9" s="14" t="n">
        <v>21.51</v>
      </c>
      <c r="E9" s="14" t="n">
        <v>10.68</v>
      </c>
      <c r="F9" s="15" t="n">
        <v>7718</v>
      </c>
      <c r="G9" s="15" t="n">
        <v>3831</v>
      </c>
    </row>
    <row r="10" ht="19.5" customHeight="1">
      <c r="B10" s="11" t="inlineStr">
        <is>
          <t>SPGI</t>
        </is>
      </c>
      <c r="C10" s="16" t="n">
        <v>425.17</v>
      </c>
      <c r="D10" s="17" t="n">
        <v>17.98</v>
      </c>
      <c r="E10" s="17" t="n">
        <v>8.98</v>
      </c>
      <c r="F10" s="18" t="n">
        <v>15336</v>
      </c>
      <c r="G10" s="18" t="n">
        <v>7657</v>
      </c>
    </row>
    <row r="11" ht="22.5" customHeight="1">
      <c r="B11" s="19" t="inlineStr">
        <is>
          <t>TransUnion Quarterly 2025 Snapshot</t>
        </is>
      </c>
      <c r="C11" s="8" t="n"/>
      <c r="D11" s="9" t="n"/>
      <c r="E11" s="22" t="n"/>
      <c r="F11" s="23" t="n"/>
      <c r="G11" s="23" t="n"/>
    </row>
    <row r="12" ht="19.5" customHeight="1">
      <c r="B12" s="10" t="inlineStr">
        <is>
          <t>Quarter</t>
        </is>
      </c>
      <c r="C12" s="46" t="inlineStr">
        <is>
          <t>Revenue ($mm)</t>
        </is>
      </c>
      <c r="D12" s="10" t="inlineStr">
        <is>
          <t>EBITDA ($mm)</t>
        </is>
      </c>
    </row>
    <row r="13" ht="19.5" customHeight="1">
      <c r="B13" s="12" t="inlineStr">
        <is>
          <t>Q1 2025</t>
        </is>
      </c>
      <c r="C13" s="12" t="n">
        <v>1095.7</v>
      </c>
      <c r="D13" s="12" t="n">
        <v>393.3</v>
      </c>
    </row>
    <row r="14" ht="19.5" customHeight="1">
      <c r="B14" s="11" t="inlineStr">
        <is>
          <t>Q2 2025</t>
        </is>
      </c>
      <c r="C14" s="11" t="n">
        <v>1139.7</v>
      </c>
      <c r="D14" s="11" t="n">
        <v>334.9</v>
      </c>
    </row>
    <row r="15" ht="19.5" customHeight="1">
      <c r="B15" s="12" t="inlineStr">
        <is>
          <t>Q3 2025</t>
        </is>
      </c>
      <c r="C15" s="12" t="n">
        <v>1169.5</v>
      </c>
      <c r="D15" s="12" t="n">
        <v>353.2</v>
      </c>
    </row>
  </sheetData>
  <mergeCells count="2">
    <mergeCell ref="B2:G2"/>
    <mergeCell ref="B11:D11"/>
  </mergeCells>
  <pageMargins left="0.35" right="0.35" top="0.5" bottom="0.5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selection activeCell="A1" sqref="A1"/>
    </sheetView>
  </sheetViews>
  <sheetFormatPr baseColWidth="8" defaultRowHeight="15"/>
  <cols>
    <col width="38" customWidth="1" min="2" max="2"/>
    <col width="2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Completed Exercises</t>
        </is>
      </c>
      <c r="C2" s="8" t="n"/>
      <c r="D2" s="8" t="n"/>
      <c r="E2" s="8" t="n"/>
      <c r="F2" s="8" t="n"/>
      <c r="G2" s="8" t="n"/>
      <c r="H2" s="9" t="n"/>
    </row>
    <row r="3"/>
    <row r="4" ht="19.5" customHeight="1">
      <c r="B4" s="24" t="inlineStr">
        <is>
          <t>Median EV / EBITDA</t>
        </is>
      </c>
      <c r="C4" s="25">
        <f>MEDIAN(Raw_Data!D5:D11)</f>
        <v/>
      </c>
    </row>
    <row r="5" ht="19.5" customHeight="1">
      <c r="B5" s="24" t="inlineStr">
        <is>
          <t>TransUnion Share Price</t>
        </is>
      </c>
      <c r="C5" s="26">
        <f>XLOOKUP("TRU",Raw_Data!B5:B11,Raw_Data!C5:C11)</f>
        <v/>
      </c>
    </row>
    <row r="6" ht="19.5" customHeight="1">
      <c r="B6" s="24" t="inlineStr">
        <is>
          <t>TransUnion EBITDA Margin</t>
        </is>
      </c>
      <c r="C6" s="27">
        <f>XLOOKUP("TRU",Raw_Data!B5:B11,Raw_Data!G5:G11)/XLOOKUP("TRU",Raw_Data!B5:B11,Raw_Data!F5:F11)</f>
        <v/>
      </c>
    </row>
    <row r="7" ht="33" customHeight="1">
      <c r="B7" s="47" t="inlineStr">
        <is>
          <t>TRU vs. Peer Median Premium / (Discount)</t>
        </is>
      </c>
      <c r="C7" s="27">
        <f>XLOOKUP("TRU",Raw_Data!B5:B11,Raw_Data!D5:D11)/C4-1</f>
        <v/>
      </c>
    </row>
    <row r="8" ht="19.5" customHeight="1">
      <c r="B8" s="24" t="inlineStr">
        <is>
          <t>Handled Lookup for Fake Ticker</t>
        </is>
      </c>
      <c r="C8" s="28">
        <f>IFERROR(XLOOKUP("FAKE",Raw_Data!B5:B11,Raw_Data!C5:C11),"Not found")</f>
        <v/>
      </c>
    </row>
    <row r="9" ht="19.5" customHeight="1">
      <c r="B9" s="24" t="inlineStr">
        <is>
          <t>Average Quarterly Revenue</t>
        </is>
      </c>
      <c r="C9" s="29">
        <f>AVERAGE(Raw_Data!C13:C16)</f>
        <v/>
      </c>
    </row>
    <row r="10" ht="19.5" customHeight="1">
      <c r="B10" s="24" t="inlineStr">
        <is>
          <t>Q4 Revenue Growth vs. Q1</t>
        </is>
      </c>
      <c r="C10" s="27">
        <f>Raw_Data!C16/Raw_Data!C13-1</f>
        <v/>
      </c>
    </row>
    <row r="11" ht="19.5" customHeight="1">
      <c r="B11" s="24" t="inlineStr">
        <is>
          <t>Model Check</t>
        </is>
      </c>
      <c r="C11" s="30">
        <f>IF(AND(ISNUMBER(C4),ISNUMBER(C5),C4&gt;0,C5&gt;0),"OK","CHECK")</f>
        <v/>
      </c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selection activeCell="A1" sqref="A1"/>
    </sheetView>
  </sheetViews>
  <sheetFormatPr baseColWidth="8" defaultRowHeight="15"/>
  <cols>
    <col width="14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Quarterly Revenue Trend</t>
        </is>
      </c>
      <c r="C2" s="8" t="n"/>
      <c r="D2" s="8" t="n"/>
      <c r="E2" s="8" t="n"/>
      <c r="F2" s="8" t="n"/>
      <c r="G2" s="8" t="n"/>
      <c r="H2" s="9" t="n"/>
    </row>
    <row r="3"/>
    <row r="4" ht="19.5" customHeight="1">
      <c r="B4" s="10" t="inlineStr">
        <is>
          <t>Quarter</t>
        </is>
      </c>
      <c r="C4" s="10" t="inlineStr">
        <is>
          <t>Revenue ($mm)</t>
        </is>
      </c>
    </row>
    <row r="5" ht="19.5" customHeight="1">
      <c r="B5" s="12" t="inlineStr">
        <is>
          <t>Q1 2025</t>
        </is>
      </c>
      <c r="C5" s="31" t="n">
        <v>1095.7</v>
      </c>
    </row>
    <row r="6" ht="19.5" customHeight="1">
      <c r="B6" s="11" t="inlineStr">
        <is>
          <t>Q2 2025</t>
        </is>
      </c>
      <c r="C6" s="32" t="n">
        <v>1139.7</v>
      </c>
    </row>
    <row r="7" ht="19.5" customHeight="1">
      <c r="B7" s="12" t="inlineStr">
        <is>
          <t>Q3 2025</t>
        </is>
      </c>
      <c r="C7" s="31" t="n">
        <v>1169.5</v>
      </c>
    </row>
  </sheetData>
  <mergeCells count="1">
    <mergeCell ref="B2:H2"/>
  </mergeCells>
  <pageMargins left="0.35" right="0.35" top="0.5" bottom="0.5" header="0.5" footer="0.5"/>
  <pageSetup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selection activeCell="A1" sqref="A1"/>
    </sheetView>
  </sheetViews>
  <sheetFormatPr baseColWidth="8" defaultRowHeight="15"/>
  <cols>
    <col width="70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Checks &amp; Audit</t>
        </is>
      </c>
      <c r="C2" s="8" t="n"/>
      <c r="D2" s="8" t="n"/>
      <c r="E2" s="8" t="n"/>
      <c r="F2" s="8" t="n"/>
      <c r="G2" s="8" t="n"/>
      <c r="H2" s="9" t="n"/>
    </row>
    <row r="3"/>
    <row r="4" ht="19.5" customHeight="1">
      <c r="B4" s="33" t="inlineStr">
        <is>
          <t>Check</t>
        </is>
      </c>
      <c r="C4" s="33" t="inlineStr">
        <is>
          <t>Status</t>
        </is>
      </c>
    </row>
    <row r="5" ht="19.5" customHeight="1">
      <c r="B5" s="12" t="inlineStr">
        <is>
          <t>Median EV / EBITDA was calculated</t>
        </is>
      </c>
      <c r="C5" s="34">
        <f>IF(ISNUMBER(Exercises!C4),"OK","CHECK")</f>
        <v/>
      </c>
    </row>
    <row r="6" ht="19.5" customHeight="1">
      <c r="B6" s="11" t="inlineStr">
        <is>
          <t>Revenue chart source table is populated</t>
        </is>
      </c>
      <c r="C6" s="35">
        <f>IF(COUNT(Charts!C5:C8)=4,"OK","CHECK")</f>
        <v/>
      </c>
    </row>
    <row r="7" ht="19.5" customHeight="1">
      <c r="B7" s="12" t="inlineStr">
        <is>
          <t>Lookup error handling returns text instead of #N/A</t>
        </is>
      </c>
      <c r="C7" s="34">
        <f>IF(Exercises!C8="Not found","OK","CHECK")</f>
        <v/>
      </c>
    </row>
  </sheetData>
  <mergeCells count="1">
    <mergeCell ref="B2:H2"/>
  </mergeCells>
  <conditionalFormatting sqref="C5:C7">
    <cfRule type="cellIs" priority="1" operator="equal" dxfId="0">
      <formula>"OK"</formula>
    </cfRule>
    <cfRule type="cellIs" priority="2" operator="notEqual" dxfId="1">
      <formula>"OK"</formula>
    </cfRule>
  </conditionalFormatting>
  <pageMargins left="0.35" right="0.35" top="0.5" bottom="0.5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2" max="2"/>
    <col width="24" customWidth="1" min="3" max="3"/>
    <col width="28" customWidth="1" min="4" max="4"/>
    <col width="12" customWidth="1" min="5" max="5"/>
    <col width="48" customWidth="1" min="6" max="6"/>
    <col width="34" customWidth="1" min="7" max="7"/>
    <col width="48" customWidth="1" min="8" max="8"/>
  </cols>
  <sheetData>
    <row r="1"/>
    <row r="2" ht="25" customHeight="1">
      <c r="B2" s="4" t="inlineStr">
        <is>
          <t>Source Notes</t>
        </is>
      </c>
      <c r="C2" s="8" t="n"/>
      <c r="D2" s="8" t="n"/>
      <c r="E2" s="8" t="n"/>
      <c r="F2" s="8" t="n"/>
      <c r="G2" s="8" t="n"/>
      <c r="H2" s="9" t="n"/>
    </row>
    <row r="3"/>
    <row r="4" ht="19.5" customHeight="1">
      <c r="B4" s="10" t="inlineStr">
        <is>
          <t>Category</t>
        </is>
      </c>
      <c r="C4" s="10" t="inlineStr">
        <is>
          <t>Entity</t>
        </is>
      </c>
      <c r="D4" s="10" t="inlineStr">
        <is>
          <t>Document</t>
        </is>
      </c>
      <c r="E4" s="10" t="inlineStr">
        <is>
          <t>As of</t>
        </is>
      </c>
      <c r="F4" s="10" t="inlineStr">
        <is>
          <t>URL</t>
        </is>
      </c>
      <c r="G4" s="10" t="inlineStr">
        <is>
          <t>Local File</t>
        </is>
      </c>
      <c r="H4" s="10" t="inlineStr">
        <is>
          <t>Notes</t>
        </is>
      </c>
    </row>
    <row r="5" ht="33" customHeight="1">
      <c r="B5" s="12" t="inlineStr">
        <is>
          <t>Public Company</t>
        </is>
      </c>
      <c r="C5" s="12" t="inlineStr">
        <is>
          <t>TransUnion</t>
        </is>
      </c>
      <c r="D5" s="12" t="inlineStr">
        <is>
          <t>2025 10-K</t>
        </is>
      </c>
      <c r="E5" s="36" t="inlineStr">
        <is>
          <t>2025-12-31</t>
        </is>
      </c>
      <c r="F5" s="36" t="inlineStr">
        <is>
          <t>https://www.sec.gov/Archives/edgar/data/1552033/000155203326000012/tru-20251231.htm</t>
        </is>
      </c>
      <c r="G5" s="36" t="inlineStr">
        <is>
          <t>data/raw/reference_html/tru_2025_10k.html</t>
        </is>
      </c>
      <c r="H5" s="36" t="inlineStr">
        <is>
          <t>Primary annual filing used for LTM operating and balance-sheet data.</t>
        </is>
      </c>
    </row>
    <row r="6" ht="33" customHeight="1">
      <c r="B6" s="11" t="inlineStr">
        <is>
          <t>Public Company</t>
        </is>
      </c>
      <c r="C6" s="11" t="inlineStr">
        <is>
          <t>Equifax</t>
        </is>
      </c>
      <c r="D6" s="11" t="inlineStr">
        <is>
          <t>2025 10-K</t>
        </is>
      </c>
      <c r="E6" s="37" t="inlineStr">
        <is>
          <t>2025-12-31</t>
        </is>
      </c>
      <c r="F6" s="37" t="inlineStr">
        <is>
          <t>https://www.sec.gov/Archives/edgar/data/33185/000003318526000010/efx-20251231.htm</t>
        </is>
      </c>
      <c r="G6" s="37" t="inlineStr">
        <is>
          <t>data/raw/reference_html/efx_2025_10k.html</t>
        </is>
      </c>
      <c r="H6" s="37" t="inlineStr">
        <is>
          <t>Primary annual filing used for LTM operating and balance-sheet data.</t>
        </is>
      </c>
    </row>
    <row r="7" ht="33" customHeight="1">
      <c r="B7" s="12" t="inlineStr">
        <is>
          <t>Public Company</t>
        </is>
      </c>
      <c r="C7" s="12" t="inlineStr">
        <is>
          <t>Verisk Analytics</t>
        </is>
      </c>
      <c r="D7" s="12" t="inlineStr">
        <is>
          <t>2025 10-K</t>
        </is>
      </c>
      <c r="E7" s="36" t="inlineStr">
        <is>
          <t>2025-12-31</t>
        </is>
      </c>
      <c r="F7" s="36" t="inlineStr">
        <is>
          <t>https://www.sec.gov/Archives/edgar/data/1442145/000143774926004452/vrsk20251231_10k.htm</t>
        </is>
      </c>
      <c r="G7" s="36" t="inlineStr">
        <is>
          <t>data/raw/reference_html/vrsk_2025_10k.html</t>
        </is>
      </c>
      <c r="H7" s="36" t="inlineStr">
        <is>
          <t>Primary annual filing used for LTM operating and balance-sheet data.</t>
        </is>
      </c>
    </row>
    <row r="8" ht="33" customHeight="1">
      <c r="B8" s="11" t="inlineStr">
        <is>
          <t>Public Company</t>
        </is>
      </c>
      <c r="C8" s="11" t="inlineStr">
        <is>
          <t>Morningstar</t>
        </is>
      </c>
      <c r="D8" s="11" t="inlineStr">
        <is>
          <t>2025 10-K</t>
        </is>
      </c>
      <c r="E8" s="37" t="inlineStr">
        <is>
          <t>2025-12-31</t>
        </is>
      </c>
      <c r="F8" s="37" t="inlineStr">
        <is>
          <t>https://www.sec.gov/Archives/edgar/data/1289419/000128941926000013/morn-20251231.htm</t>
        </is>
      </c>
      <c r="G8" s="37" t="inlineStr">
        <is>
          <t>data/raw/reference_html/morn_2025_10k.html</t>
        </is>
      </c>
      <c r="H8" s="37" t="inlineStr">
        <is>
          <t>Primary annual filing used for LTM operating and balance-sheet data.</t>
        </is>
      </c>
    </row>
    <row r="9" ht="33" customHeight="1">
      <c r="B9" s="12" t="inlineStr">
        <is>
          <t>Public Company</t>
        </is>
      </c>
      <c r="C9" s="12" t="inlineStr">
        <is>
          <t>MSCI</t>
        </is>
      </c>
      <c r="D9" s="12" t="inlineStr">
        <is>
          <t>2025 10-K</t>
        </is>
      </c>
      <c r="E9" s="36" t="inlineStr">
        <is>
          <t>2025-12-31</t>
        </is>
      </c>
      <c r="F9" s="36" t="inlineStr">
        <is>
          <t>https://www.sec.gov/Archives/edgar/data/1408198/000140819826000011/msci-20251231.htm</t>
        </is>
      </c>
      <c r="G9" s="36" t="inlineStr">
        <is>
          <t>data/raw/reference_html/msci_2025_10k.html</t>
        </is>
      </c>
      <c r="H9" s="36" t="inlineStr">
        <is>
          <t>Primary annual filing used for LTM operating and balance-sheet data.</t>
        </is>
      </c>
    </row>
    <row r="10" ht="33" customHeight="1">
      <c r="B10" s="11" t="inlineStr">
        <is>
          <t>Public Company</t>
        </is>
      </c>
      <c r="C10" s="11" t="inlineStr">
        <is>
          <t>Moody's</t>
        </is>
      </c>
      <c r="D10" s="11" t="inlineStr">
        <is>
          <t>2025 10-K</t>
        </is>
      </c>
      <c r="E10" s="37" t="inlineStr">
        <is>
          <t>2025-12-31</t>
        </is>
      </c>
      <c r="F10" s="37" t="inlineStr">
        <is>
          <t>https://www.sec.gov/Archives/edgar/data/1059556/000162828026009136/mco-20251231.htm</t>
        </is>
      </c>
      <c r="G10" s="37" t="inlineStr">
        <is>
          <t>data/raw/reference_html/mco_2025_10k.html</t>
        </is>
      </c>
      <c r="H10" s="37" t="inlineStr">
        <is>
          <t>Primary annual filing used for LTM operating and balance-sheet data.</t>
        </is>
      </c>
    </row>
    <row r="11" ht="33" customHeight="1">
      <c r="B11" s="12" t="inlineStr">
        <is>
          <t>Public Company</t>
        </is>
      </c>
      <c r="C11" s="12" t="inlineStr">
        <is>
          <t>S&amp;P Global</t>
        </is>
      </c>
      <c r="D11" s="12" t="inlineStr">
        <is>
          <t>2025 10-K</t>
        </is>
      </c>
      <c r="E11" s="36" t="inlineStr">
        <is>
          <t>2025-12-31</t>
        </is>
      </c>
      <c r="F11" s="36" t="inlineStr">
        <is>
          <t>https://www.sec.gov/Archives/edgar/data/64040/000006404026000013/spgi-20251231.htm</t>
        </is>
      </c>
      <c r="G11" s="36" t="inlineStr">
        <is>
          <t>data/raw/reference_html/spgi_2025_10k.html</t>
        </is>
      </c>
      <c r="H11" s="36" t="inlineStr">
        <is>
          <t>Primary annual filing used for LTM operating and balance-sheet data.</t>
        </is>
      </c>
    </row>
    <row r="12" ht="33" customHeight="1">
      <c r="B12" s="11" t="inlineStr">
        <is>
          <t>DCF</t>
        </is>
      </c>
      <c r="C12" s="11" t="inlineStr">
        <is>
          <t>TransUnion</t>
        </is>
      </c>
      <c r="D12" s="11" t="inlineStr">
        <is>
          <t>2025 10-K</t>
        </is>
      </c>
      <c r="E12" s="37" t="inlineStr">
        <is>
          <t>2025-12-31</t>
        </is>
      </c>
      <c r="F12" s="37" t="inlineStr">
        <is>
          <t>https://www.sec.gov/Archives/edgar/data/1552033/000155203326000012/tru-20251231.htm</t>
        </is>
      </c>
      <c r="G12" s="37" t="inlineStr">
        <is>
          <t>data/raw/reference_html/tru_2025_10k.html</t>
        </is>
      </c>
      <c r="H12" s="37" t="inlineStr">
        <is>
          <t>Historical actuals and balance-sheet data.</t>
        </is>
      </c>
    </row>
    <row r="13" ht="33" customHeight="1">
      <c r="B13" s="12" t="inlineStr">
        <is>
          <t>DCF</t>
        </is>
      </c>
      <c r="C13" s="12" t="inlineStr">
        <is>
          <t>TransUnion</t>
        </is>
      </c>
      <c r="D13" s="12" t="inlineStr">
        <is>
          <t>2026 Earnings Release</t>
        </is>
      </c>
      <c r="E13" s="36" t="inlineStr">
        <is>
          <t>2026-02-12</t>
        </is>
      </c>
      <c r="F13" s="36" t="inlineStr">
        <is>
          <t>https://www.sec.gov/Archives/edgar/data/1552033/000155203326000006/exhibit99112312025.htm</t>
        </is>
      </c>
      <c r="G13" s="36" t="inlineStr">
        <is>
          <t>data/raw/reference_html/tru_2026_guidance.html</t>
        </is>
      </c>
      <c r="H13" s="36" t="inlineStr">
        <is>
          <t>Management 2026 revenue and adjusted EBITDA guidance.</t>
        </is>
      </c>
    </row>
    <row r="14" ht="33" customHeight="1">
      <c r="B14" s="11" t="inlineStr">
        <is>
          <t>Valuation</t>
        </is>
      </c>
      <c r="C14" s="11" t="inlineStr">
        <is>
          <t>Damodaran</t>
        </is>
      </c>
      <c r="D14" s="11" t="inlineStr">
        <is>
          <t>Implied ERP Update</t>
        </is>
      </c>
      <c r="E14" s="37" t="inlineStr">
        <is>
          <t>2026-04-01</t>
        </is>
      </c>
      <c r="F14" s="37" t="inlineStr">
        <is>
          <t>https://pages.stern.nyu.edu/~adamodar/New_Home_Page/home.htm</t>
        </is>
      </c>
      <c r="G14" s="37" t="inlineStr">
        <is>
          <t>data/raw/reference_html/damodaran_home_apr_2026.html</t>
        </is>
      </c>
      <c r="H14" s="37" t="inlineStr">
        <is>
          <t>Used for U.S. ERP and risk-free rate assumptions.</t>
        </is>
      </c>
    </row>
  </sheetData>
  <mergeCells count="1">
    <mergeCell ref="B2:H2"/>
  </mergeCells>
  <pageMargins left="0.35" right="0.35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Jordan Mahmood</dc:creator>
  <dcterms:created xsi:type="dcterms:W3CDTF">2026-04-23T17:34:12Z</dcterms:created>
  <dcterms:modified xsi:type="dcterms:W3CDTF">2026-04-23T18:35:07+00:00Z</dcterms:modified>
  <cp:lastModifiedBy>Jordan Mahmood</cp:lastModifiedBy>
</cp:coreProperties>
</file>